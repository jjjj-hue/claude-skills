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" sheetId="1" r:id="rId5"/>
    <sheet state="visible" name="MGM" sheetId="2" r:id="rId6"/>
    <sheet state="visible" name="GPG" sheetId="3" r:id="rId7"/>
    <sheet state="visible" name="VD" sheetId="4" r:id="rId8"/>
    <sheet state="visible" name="BLDG" sheetId="5" r:id="rId9"/>
    <sheet state="visible" name="Punnett" sheetId="6" r:id="rId10"/>
    <sheet state="visible" name="MANO" sheetId="7" r:id="rId11"/>
    <sheet state="visible" name="SOLIL" sheetId="8" r:id="rId12"/>
    <sheet state="visible" name="Brusco" sheetId="9" r:id="rId13"/>
    <sheet state="visible" name="TR" sheetId="10" r:id="rId14"/>
    <sheet state="visible" name="Copy of 7.14.2026" sheetId="11" r:id="rId15"/>
  </sheets>
  <definedNames/>
  <calcPr/>
</workbook>
</file>

<file path=xl/sharedStrings.xml><?xml version="1.0" encoding="utf-8"?>
<sst xmlns="http://schemas.openxmlformats.org/spreadsheetml/2006/main" count="1322" uniqueCount="640">
  <si>
    <t>Status</t>
  </si>
  <si>
    <t>Address</t>
  </si>
  <si>
    <t>Unit</t>
  </si>
  <si>
    <t>Bedrooms</t>
  </si>
  <si>
    <t>Baths</t>
  </si>
  <si>
    <t>Gross Rent</t>
  </si>
  <si>
    <t>Ready Date</t>
  </si>
  <si>
    <t>Commission</t>
  </si>
  <si>
    <t>Media</t>
  </si>
  <si>
    <t>Class</t>
  </si>
  <si>
    <t>Notes</t>
  </si>
  <si>
    <t xml:space="preserve">Can Show KWMD </t>
  </si>
  <si>
    <t>301 EAST 38TH STREET</t>
  </si>
  <si>
    <t>12H</t>
  </si>
  <si>
    <t>4095 + .5 month free NER = 3924</t>
  </si>
  <si>
    <t>IMM</t>
  </si>
  <si>
    <t>Full Month</t>
  </si>
  <si>
    <t>MP Link</t>
  </si>
  <si>
    <t>ELEVATOR</t>
  </si>
  <si>
    <t xml:space="preserve">Smaller living room. </t>
  </si>
  <si>
    <t>2F</t>
  </si>
  <si>
    <t>vacant - ready 6/27</t>
  </si>
  <si>
    <t>MP LINK</t>
  </si>
  <si>
    <t xml:space="preserve">LL Will add dishwasher. </t>
  </si>
  <si>
    <t>3G</t>
  </si>
  <si>
    <t>vacant - IMM</t>
  </si>
  <si>
    <t xml:space="preserve">Will have new kitchen </t>
  </si>
  <si>
    <t>17E</t>
  </si>
  <si>
    <t xml:space="preserve">vacant ready 7/22 - 8/1ish </t>
  </si>
  <si>
    <t>MP WITH RENO</t>
  </si>
  <si>
    <t xml:space="preserve">Will have full E-Line renovation added as per MP </t>
  </si>
  <si>
    <t>9H</t>
  </si>
  <si>
    <t>1</t>
  </si>
  <si>
    <t>vacant - ready 07/20/2026</t>
  </si>
  <si>
    <t>7H</t>
  </si>
  <si>
    <t xml:space="preserve">vacant - ready soon  </t>
  </si>
  <si>
    <t>Can Show - email Karolina for appt</t>
  </si>
  <si>
    <t>6G</t>
  </si>
  <si>
    <t>occupied 7/31 MO 8/15ish MI</t>
  </si>
  <si>
    <t>Will have a dishwater added</t>
  </si>
  <si>
    <t>LIVE on Streeteasy</t>
  </si>
  <si>
    <t>New</t>
  </si>
  <si>
    <t>App</t>
  </si>
  <si>
    <t>Rented</t>
  </si>
  <si>
    <t>Note</t>
  </si>
  <si>
    <t>Date</t>
  </si>
  <si>
    <t>Agent</t>
  </si>
  <si>
    <t>Date Added</t>
  </si>
  <si>
    <t>Apt #</t>
  </si>
  <si>
    <t>Size</t>
  </si>
  <si>
    <t>Price</t>
  </si>
  <si>
    <t>MP</t>
  </si>
  <si>
    <t xml:space="preserve">Available </t>
  </si>
  <si>
    <t>Access</t>
  </si>
  <si>
    <t>SE Agent</t>
  </si>
  <si>
    <t>SE Link</t>
  </si>
  <si>
    <t>6.17.2026</t>
  </si>
  <si>
    <t>249 E 53RD</t>
  </si>
  <si>
    <t>3C</t>
  </si>
  <si>
    <t>1 BED</t>
  </si>
  <si>
    <t>contact Karolina@bondnewyork.com</t>
  </si>
  <si>
    <t>Karolina/Iris</t>
  </si>
  <si>
    <t>6.23.2026</t>
  </si>
  <si>
    <t xml:space="preserve">237 East 5th </t>
  </si>
  <si>
    <t>Negotiable. Railroad DW / W/D</t>
  </si>
  <si>
    <t>Yera</t>
  </si>
  <si>
    <t>7.7.2026</t>
  </si>
  <si>
    <t>94 Third Ave</t>
  </si>
  <si>
    <t>4F</t>
  </si>
  <si>
    <t>3 BED</t>
  </si>
  <si>
    <t xml:space="preserve">Full floor. </t>
  </si>
  <si>
    <t>Connor</t>
  </si>
  <si>
    <t>BOND SEP</t>
  </si>
  <si>
    <t>apps</t>
  </si>
  <si>
    <t>rented</t>
  </si>
  <si>
    <t>STATUS</t>
  </si>
  <si>
    <t>DATE</t>
  </si>
  <si>
    <t>BROKER</t>
  </si>
  <si>
    <t>DATE ADDED</t>
  </si>
  <si>
    <t>MEDIA</t>
  </si>
  <si>
    <t>ADDRESS</t>
  </si>
  <si>
    <t>APT</t>
  </si>
  <si>
    <t>SIZE</t>
  </si>
  <si>
    <t>LIST RENT</t>
  </si>
  <si>
    <t>CONCESSION (IN MONTHS</t>
  </si>
  <si>
    <t>NET RENT</t>
  </si>
  <si>
    <t>LEASE TYPE</t>
  </si>
  <si>
    <t>COMMENTS</t>
  </si>
  <si>
    <t>STREETEASY AGENT</t>
  </si>
  <si>
    <t>OLD RENT</t>
  </si>
  <si>
    <t>VACANT</t>
  </si>
  <si>
    <t>240 WAVERLY</t>
  </si>
  <si>
    <t>2 BDR</t>
  </si>
  <si>
    <t>DC</t>
  </si>
  <si>
    <t>Moran</t>
  </si>
  <si>
    <t>MP Same Line</t>
  </si>
  <si>
    <t>313 E 93RD</t>
  </si>
  <si>
    <t>5C</t>
  </si>
  <si>
    <t>ST</t>
  </si>
  <si>
    <t>NEW RENOVATED EAT IN KITCHEN AND BATH</t>
  </si>
  <si>
    <t>Soraya</t>
  </si>
  <si>
    <t>330 E 93RD</t>
  </si>
  <si>
    <t>3A</t>
  </si>
  <si>
    <t>1 BDR</t>
  </si>
  <si>
    <t>1B</t>
  </si>
  <si>
    <t>337 E 90TH</t>
  </si>
  <si>
    <t>Maurice</t>
  </si>
  <si>
    <t>BOTM</t>
  </si>
  <si>
    <t>TRO / NO OP</t>
  </si>
  <si>
    <t>345 E 76TH</t>
  </si>
  <si>
    <t>1C</t>
  </si>
  <si>
    <t>STU YARD</t>
  </si>
  <si>
    <t>RS</t>
  </si>
  <si>
    <t>Full reno dishwasher, large private yard. VACANT</t>
  </si>
  <si>
    <t>OCCUPIED</t>
  </si>
  <si>
    <t>1 CHRISTOPHER</t>
  </si>
  <si>
    <t>STUDIO</t>
  </si>
  <si>
    <t>KAISA VALTANEN</t>
  </si>
  <si>
    <t>END JULY</t>
  </si>
  <si>
    <t>Meni</t>
  </si>
  <si>
    <t>6F</t>
  </si>
  <si>
    <t>TROY ELLIOT</t>
  </si>
  <si>
    <t>END AUG</t>
  </si>
  <si>
    <t>8J</t>
  </si>
  <si>
    <t>KATHERINE FLANAGAN</t>
  </si>
  <si>
    <t>FARRIS ALQALAM</t>
  </si>
  <si>
    <t>YT Video</t>
  </si>
  <si>
    <t>28 KING</t>
  </si>
  <si>
    <t>PETER FLOR</t>
  </si>
  <si>
    <t>218 E 85TH</t>
  </si>
  <si>
    <t>3FE</t>
  </si>
  <si>
    <t>MAIDEH ORANGI/ALI NILFOROUSH</t>
  </si>
  <si>
    <t>219 E 88TH</t>
  </si>
  <si>
    <t>1A</t>
  </si>
  <si>
    <t>YOUHUAN ZHANG</t>
  </si>
  <si>
    <t>239 E 24TH</t>
  </si>
  <si>
    <t>NEED 8/15 START TO INSTALL ELECTRIC LINK FOR NEW STOVE</t>
  </si>
  <si>
    <t>JULIA LAICO</t>
  </si>
  <si>
    <t>246 W 22ND</t>
  </si>
  <si>
    <t>STU</t>
  </si>
  <si>
    <t>EDWARD POWERS</t>
  </si>
  <si>
    <t>Gabe</t>
  </si>
  <si>
    <t>324 E 91ST</t>
  </si>
  <si>
    <t>MILAGROS PAPIER-MEISTER</t>
  </si>
  <si>
    <t>332 E 93RD</t>
  </si>
  <si>
    <t>5D</t>
  </si>
  <si>
    <t>RACHEL O'SULLIVAN</t>
  </si>
  <si>
    <t>334 E 93RD</t>
  </si>
  <si>
    <t>THOMAS WALKER</t>
  </si>
  <si>
    <t>Jen</t>
  </si>
  <si>
    <t>SHOBHIT KUMAR</t>
  </si>
  <si>
    <t>336 E 90TH</t>
  </si>
  <si>
    <t>CASEY FUCHS</t>
  </si>
  <si>
    <t>415 E 73RD</t>
  </si>
  <si>
    <t>2E</t>
  </si>
  <si>
    <t>DAIELLA SPILLERT</t>
  </si>
  <si>
    <t>425 E 65TH</t>
  </si>
  <si>
    <t>THOMAS SHROUT</t>
  </si>
  <si>
    <t>429 E 73RD</t>
  </si>
  <si>
    <t>4RE</t>
  </si>
  <si>
    <t>MARINA PANDOLIANO</t>
  </si>
  <si>
    <t>1731 2ND</t>
  </si>
  <si>
    <t>5RS</t>
  </si>
  <si>
    <t>PATRICK &amp; NATALIE BATEMAN</t>
  </si>
  <si>
    <t>APP DATE</t>
  </si>
  <si>
    <t>CONCESSION</t>
  </si>
  <si>
    <t>TRPA - TENANT REP TERMS</t>
  </si>
  <si>
    <t>NER</t>
  </si>
  <si>
    <t xml:space="preserve">MOVE IN DATE </t>
  </si>
  <si>
    <t xml:space="preserve">MATTERPORT </t>
  </si>
  <si>
    <t>FD CODE + VD Master - Email Karolina</t>
  </si>
  <si>
    <t>Vacant</t>
  </si>
  <si>
    <t>Can show</t>
  </si>
  <si>
    <t>6.19.2026</t>
  </si>
  <si>
    <t>227 East 11th Street</t>
  </si>
  <si>
    <t>STU YARD W/D</t>
  </si>
  <si>
    <t>1 month OP</t>
  </si>
  <si>
    <t xml:space="preserve">Negotiable </t>
  </si>
  <si>
    <t>FD Key + VD MAster</t>
  </si>
  <si>
    <t>7.2.2026</t>
  </si>
  <si>
    <t>720 Second Avenue</t>
  </si>
  <si>
    <t>2BR 2 bath</t>
  </si>
  <si>
    <t>Tenant Rep only 12-15%</t>
  </si>
  <si>
    <t>6.12.2026</t>
  </si>
  <si>
    <t>196 West 10th Street</t>
  </si>
  <si>
    <t>STU EIK</t>
  </si>
  <si>
    <t>n/a</t>
  </si>
  <si>
    <t>Tenant Rep only</t>
  </si>
  <si>
    <t>5.14.2026</t>
  </si>
  <si>
    <t>303 West 106th Street</t>
  </si>
  <si>
    <t>2BR 1.5 bath duplex</t>
  </si>
  <si>
    <t>1 month free</t>
  </si>
  <si>
    <t xml:space="preserve">Tenant Rep only </t>
  </si>
  <si>
    <t>lockbox code 3031 + VD Master</t>
  </si>
  <si>
    <t>1 Jane Street</t>
  </si>
  <si>
    <t>1D</t>
  </si>
  <si>
    <t>KWDM</t>
  </si>
  <si>
    <t>2A</t>
  </si>
  <si>
    <t>124 East 24th Street</t>
  </si>
  <si>
    <t>1J</t>
  </si>
  <si>
    <t>ALCOVE STUDIO</t>
  </si>
  <si>
    <t>Please contact Sokol 718-314- 2727</t>
  </si>
  <si>
    <t>1E</t>
  </si>
  <si>
    <t>07/20/0202</t>
  </si>
  <si>
    <t>please call Superintendent 6 SOKOL/ELIZEBETA at 646-599-0714</t>
  </si>
  <si>
    <t>5K</t>
  </si>
  <si>
    <t>keybox code: 2424. Or call Sokol 6 718-314-2727</t>
  </si>
  <si>
    <t>145 Fourth Avenue</t>
  </si>
  <si>
    <t>6B</t>
  </si>
  <si>
    <t>7K</t>
  </si>
  <si>
    <t>11B</t>
  </si>
  <si>
    <t>11J</t>
  </si>
  <si>
    <t>14H</t>
  </si>
  <si>
    <t>PHH</t>
  </si>
  <si>
    <t>14P</t>
  </si>
  <si>
    <t>7M</t>
  </si>
  <si>
    <t>12M</t>
  </si>
  <si>
    <t>9J</t>
  </si>
  <si>
    <t>11K</t>
  </si>
  <si>
    <t>166 Second Avenue</t>
  </si>
  <si>
    <t>5E</t>
  </si>
  <si>
    <t>14K</t>
  </si>
  <si>
    <t>2 BED</t>
  </si>
  <si>
    <t>14M</t>
  </si>
  <si>
    <t>15L</t>
  </si>
  <si>
    <t>Key with doorman.</t>
  </si>
  <si>
    <t>14B</t>
  </si>
  <si>
    <t>07/12/0202</t>
  </si>
  <si>
    <t>220 East 63rd Street</t>
  </si>
  <si>
    <t>4K</t>
  </si>
  <si>
    <t>1H</t>
  </si>
  <si>
    <t>2K</t>
  </si>
  <si>
    <t>please see the doorman</t>
  </si>
  <si>
    <t>12D</t>
  </si>
  <si>
    <t>222 East 39th Street</t>
  </si>
  <si>
    <t>22A</t>
  </si>
  <si>
    <t>JR 1</t>
  </si>
  <si>
    <t>24A</t>
  </si>
  <si>
    <t>7E</t>
  </si>
  <si>
    <t>11G</t>
  </si>
  <si>
    <t>JR 4</t>
  </si>
  <si>
    <t>18B</t>
  </si>
  <si>
    <t>23D</t>
  </si>
  <si>
    <t>222 East 44th Street</t>
  </si>
  <si>
    <t>10E</t>
  </si>
  <si>
    <t>on site agent: 212-222-4344; info@summitnyc.com</t>
  </si>
  <si>
    <t>11M</t>
  </si>
  <si>
    <t>Please Contact Leasing OFFICE info@summitnyc.com 212-222-4344</t>
  </si>
  <si>
    <t>20G</t>
  </si>
  <si>
    <t>Assignment - please contact resident - Nina Liu 646- 906-5859 - expires 1/31/27</t>
  </si>
  <si>
    <t>26C</t>
  </si>
  <si>
    <t>28E</t>
  </si>
  <si>
    <t>32M</t>
  </si>
  <si>
    <t>38L</t>
  </si>
  <si>
    <t>on-site office: 212-222-4344; info@summitnyc.com</t>
  </si>
  <si>
    <t>40L</t>
  </si>
  <si>
    <t>This is a new lease through an existing resident please contact Batts Parker directly Email: mbattsp28@gmail.com Cell: 2567550708</t>
  </si>
  <si>
    <t>17J</t>
  </si>
  <si>
    <t>21L</t>
  </si>
  <si>
    <t>23L</t>
  </si>
  <si>
    <t>08/05/0202</t>
  </si>
  <si>
    <t>on site agent: 212-222-4344; 6 info@summitnyc.com</t>
  </si>
  <si>
    <t>28M</t>
  </si>
  <si>
    <t>31K</t>
  </si>
  <si>
    <t>40K</t>
  </si>
  <si>
    <t>236 East 36th Street</t>
  </si>
  <si>
    <t>3F</t>
  </si>
  <si>
    <t>8A</t>
  </si>
  <si>
    <t>3E</t>
  </si>
  <si>
    <t>241 East 38th Street</t>
  </si>
  <si>
    <t>305 West 45th Street</t>
  </si>
  <si>
    <t>4H</t>
  </si>
  <si>
    <t>Keys with the tenant Thomas 781-606 -4532.</t>
  </si>
  <si>
    <t>6K</t>
  </si>
  <si>
    <t>Keys with Max super 917-416-3463</t>
  </si>
  <si>
    <t>333 East 49th Street</t>
  </si>
  <si>
    <t>1N</t>
  </si>
  <si>
    <t>8L</t>
  </si>
  <si>
    <t>3P</t>
  </si>
  <si>
    <t>1L</t>
  </si>
  <si>
    <t>1S</t>
  </si>
  <si>
    <t>8C</t>
  </si>
  <si>
    <t>11L</t>
  </si>
  <si>
    <t>11N</t>
  </si>
  <si>
    <t>LOBT</t>
  </si>
  <si>
    <t>412 East 55th Street</t>
  </si>
  <si>
    <t>11C</t>
  </si>
  <si>
    <t>435 East 79th Street</t>
  </si>
  <si>
    <t>3M</t>
  </si>
  <si>
    <t>8M</t>
  </si>
  <si>
    <t>Please call onsite broker Yigal Yedidsion REIG-New York Office: 212-838-3101 Cell: 310-922-3997</t>
  </si>
  <si>
    <t>5G</t>
  </si>
  <si>
    <t>To schedule apartment showings: 910-264-5157. On July 15 keys will be available with the doorman for showings.</t>
  </si>
  <si>
    <t>46 West 73rd Street</t>
  </si>
  <si>
    <t>4E</t>
  </si>
  <si>
    <t>KEYBOX 5372.Keys with Handyman, Ramon 646.872.5272 or John 917-681-2600</t>
  </si>
  <si>
    <t>247 West 87th Street</t>
  </si>
  <si>
    <t>7C</t>
  </si>
  <si>
    <t>117 East 89th Street</t>
  </si>
  <si>
    <t>A2</t>
  </si>
  <si>
    <t>1BR</t>
  </si>
  <si>
    <t>C4</t>
  </si>
  <si>
    <t>117 West 13th Street</t>
  </si>
  <si>
    <t>07/10/0202</t>
  </si>
  <si>
    <t>Keys with Super, 646-210-4958 or 6 key box combo #8924</t>
  </si>
  <si>
    <t>Call Super, 646.210.4958 Weekends use key box code 8924</t>
  </si>
  <si>
    <t>13 East 7th Street</t>
  </si>
  <si>
    <t>07/15/0202</t>
  </si>
  <si>
    <t>201-205 West 11th Street</t>
  </si>
  <si>
    <t>Front door code: 35(at the time), 2 then 4</t>
  </si>
  <si>
    <t>218 West 10th Street</t>
  </si>
  <si>
    <t>6E</t>
  </si>
  <si>
    <t>480 West Broadway</t>
  </si>
  <si>
    <t>4FL</t>
  </si>
  <si>
    <t>CONV 2 W/</t>
  </si>
  <si>
    <t>111 East 80th Street</t>
  </si>
  <si>
    <t>4D</t>
  </si>
  <si>
    <t>2 BED W/</t>
  </si>
  <si>
    <t>115 East 92nd Street</t>
  </si>
  <si>
    <t>123 East 82nd Street</t>
  </si>
  <si>
    <t>141 East 56th Street</t>
  </si>
  <si>
    <t>150 East 84th Street</t>
  </si>
  <si>
    <t>5P</t>
  </si>
  <si>
    <t>Keys with Superintendent, Lek 6 Paloka, 917 681 5374</t>
  </si>
  <si>
    <t>17 East 67th Street</t>
  </si>
  <si>
    <t>to access: w/D/A Lockbox code 1986 6</t>
  </si>
  <si>
    <t>243 East 38th Street</t>
  </si>
  <si>
    <t>2B</t>
  </si>
  <si>
    <t>Rented since last hot-sheet (2026-07-01)</t>
  </si>
  <si>
    <t>Building</t>
  </si>
  <si>
    <t>Matterport</t>
  </si>
  <si>
    <t>Old price</t>
  </si>
  <si>
    <t>New price</t>
  </si>
  <si>
    <t>2C</t>
  </si>
  <si>
    <t>930 Grand Concourse</t>
  </si>
  <si>
    <t>Price changes since last hot-sheet (2026-07-01)</t>
  </si>
  <si>
    <t>711 Second Avenue</t>
  </si>
  <si>
    <r>
      <rPr>
        <rFont val="Calibri"/>
        <color theme="1"/>
      </rPr>
      <t>s</t>
    </r>
    <r>
      <rPr>
        <rFont val="Calibri"/>
        <color rgb="FFFFFFFF"/>
      </rPr>
      <t>STATUS</t>
    </r>
  </si>
  <si>
    <t>BRKR</t>
  </si>
  <si>
    <t>MATTERPORT</t>
  </si>
  <si>
    <t>PRIOR TENANT</t>
  </si>
  <si>
    <t>SCHED VAC DATE</t>
  </si>
  <si>
    <t>OP</t>
  </si>
  <si>
    <r>
      <rPr>
        <rFont val="Calibri"/>
        <color theme="1"/>
      </rPr>
      <t>sese</t>
    </r>
    <r>
      <rPr>
        <rFont val="Calibri"/>
        <color rgb="FFFFFFFF"/>
      </rPr>
      <t xml:space="preserve">SE Agent </t>
    </r>
  </si>
  <si>
    <t>VACANT APTS</t>
  </si>
  <si>
    <t>PENDING VACANCIES</t>
  </si>
  <si>
    <t>118 E 92ND</t>
  </si>
  <si>
    <t>MOIRA MCCANN</t>
  </si>
  <si>
    <t>1 astor</t>
  </si>
  <si>
    <t xml:space="preserve">365 w 52 </t>
  </si>
  <si>
    <t>CHELSEA</t>
  </si>
  <si>
    <t>440 E 78th</t>
  </si>
  <si>
    <t>305 w 13</t>
  </si>
  <si>
    <t>EAST VILLAGE</t>
  </si>
  <si>
    <t>201 E 12TH</t>
  </si>
  <si>
    <t>211 $4650 STUDIO</t>
  </si>
  <si>
    <t>0.5 MONTH OP</t>
  </si>
  <si>
    <t>323 $7650 2BED</t>
  </si>
  <si>
    <t>GREENWICH VILLAGE</t>
  </si>
  <si>
    <t>1 ASTOR PL</t>
  </si>
  <si>
    <t>3S $4950 STUDIO</t>
  </si>
  <si>
    <t>APP</t>
  </si>
  <si>
    <t>4F $4650 STUDIO</t>
  </si>
  <si>
    <t>8G $4750 STUDIO</t>
  </si>
  <si>
    <t>MIDTOWN WEST</t>
  </si>
  <si>
    <t>888 EIGHTH AVE</t>
  </si>
  <si>
    <t>20F $5000 1BED</t>
  </si>
  <si>
    <t>15-O $4450 1BED</t>
  </si>
  <si>
    <t>MIDTOWN EAST</t>
  </si>
  <si>
    <t>214 E 51ST</t>
  </si>
  <si>
    <t>2C $3100 STUDIO</t>
  </si>
  <si>
    <t>4K $3200 STUDIO</t>
  </si>
  <si>
    <t>241 E 46TH</t>
  </si>
  <si>
    <t>2C $3195 STUDIO</t>
  </si>
  <si>
    <t>SUTTON PLACE</t>
  </si>
  <si>
    <t>326 E 58TH</t>
  </si>
  <si>
    <t>1B $4250 1BED</t>
  </si>
  <si>
    <t>Upper East Side</t>
  </si>
  <si>
    <t>440 E 78TH</t>
  </si>
  <si>
    <t>LLA $5500 2BED</t>
  </si>
  <si>
    <t>400 E 71ST</t>
  </si>
  <si>
    <t>22J $5250 1BED</t>
  </si>
  <si>
    <t>1661 YORK AVE</t>
  </si>
  <si>
    <t>3K $3150 STUDIO</t>
  </si>
  <si>
    <t>6F $3250 STUDIO</t>
  </si>
  <si>
    <t>WEST VILLAGE</t>
  </si>
  <si>
    <t>305 W 13TH</t>
  </si>
  <si>
    <t>6G $4800 STUDIO</t>
  </si>
  <si>
    <t>Unit #</t>
  </si>
  <si>
    <t xml:space="preserve">Matterport </t>
  </si>
  <si>
    <t xml:space="preserve">1 year lease </t>
  </si>
  <si>
    <t xml:space="preserve">2 year lease </t>
  </si>
  <si>
    <t xml:space="preserve">Unit size </t>
  </si>
  <si>
    <t>Available</t>
  </si>
  <si>
    <t xml:space="preserve">Access </t>
  </si>
  <si>
    <t>#5B</t>
  </si>
  <si>
    <t>vacant</t>
  </si>
  <si>
    <t>Super Adam 646-860-5081 M-F</t>
  </si>
  <si>
    <t>71 West 12th Street</t>
  </si>
  <si>
    <t>CFA Super Benjamin 646-581-0759</t>
  </si>
  <si>
    <t>20 Fifth Ave</t>
  </si>
  <si>
    <t>2D</t>
  </si>
  <si>
    <t>call DM 212-529-0599</t>
  </si>
  <si>
    <t>8E</t>
  </si>
  <si>
    <t>10D</t>
  </si>
  <si>
    <t>still occupied</t>
  </si>
  <si>
    <t>12A</t>
  </si>
  <si>
    <t>96 FIFTH Avenue</t>
  </si>
  <si>
    <t>ALCOVE</t>
  </si>
  <si>
    <t>FIRST call DM 212-675-3572 9am-6pm only</t>
  </si>
  <si>
    <t>8P</t>
  </si>
  <si>
    <t>2BR/1BTH</t>
  </si>
  <si>
    <t>145 East 16th Street</t>
  </si>
  <si>
    <t>15H</t>
  </si>
  <si>
    <t>still occupied 07/01/26</t>
  </si>
  <si>
    <t>4G</t>
  </si>
  <si>
    <t>first call DM 212-460-9352 vacant</t>
  </si>
  <si>
    <t>WITH W/D AND DINING ALCOVE 3RD BED</t>
  </si>
  <si>
    <t>still occupied 09/01/26</t>
  </si>
  <si>
    <t>455 Second Avenue</t>
  </si>
  <si>
    <t>Ave</t>
  </si>
  <si>
    <t>JR 1BR</t>
  </si>
  <si>
    <t>apt door should be open call Super vacant Mario 646-825-0915</t>
  </si>
  <si>
    <t>165 East 35th Street</t>
  </si>
  <si>
    <t>STUDIO WITH BALCONY</t>
  </si>
  <si>
    <t>KWDM 212-689-6098 vacant</t>
  </si>
  <si>
    <t>5H</t>
  </si>
  <si>
    <t>4A</t>
  </si>
  <si>
    <t>1BR EASY FLEX 2 WITH BALCONY</t>
  </si>
  <si>
    <t>4C</t>
  </si>
  <si>
    <t>7G</t>
  </si>
  <si>
    <t>517 Third Ave 517 Third Ave</t>
  </si>
  <si>
    <t>STUDIO STUDIO</t>
  </si>
  <si>
    <t>Super Jose 646-731-8111, maybe vacant KWDM at 165E35 Super Jose 646-731-8111 vacant</t>
  </si>
  <si>
    <t>140 East 46th Street</t>
  </si>
  <si>
    <t>KWDM 212-661-5314</t>
  </si>
  <si>
    <t>5N</t>
  </si>
  <si>
    <t>6C</t>
  </si>
  <si>
    <t>? call DM 212-661-5314</t>
  </si>
  <si>
    <t>first call DM 212-661-5314</t>
  </si>
  <si>
    <t>2R</t>
  </si>
  <si>
    <t>4N</t>
  </si>
  <si>
    <t>5F</t>
  </si>
  <si>
    <t>HUGE STUDIO</t>
  </si>
  <si>
    <t>once vacant, KWDM 212-661-5314</t>
  </si>
  <si>
    <t>7R</t>
  </si>
  <si>
    <t>11T</t>
  </si>
  <si>
    <t>20 Beekman Place</t>
  </si>
  <si>
    <t>JR 4 JR 4</t>
  </si>
  <si>
    <t>first call DM 212-753-1562 vacant first call DM 212-753-1562</t>
  </si>
  <si>
    <t>405 East 56th Street</t>
  </si>
  <si>
    <t>3D</t>
  </si>
  <si>
    <t>2BR/2BTH EASY FLEX 3</t>
  </si>
  <si>
    <t>under KWDM 212-893-8060 reno</t>
  </si>
  <si>
    <t>9L</t>
  </si>
  <si>
    <t>first call, KWDM 212-893-8060 vacant</t>
  </si>
  <si>
    <t>10M</t>
  </si>
  <si>
    <t>still occupied 9/1/26</t>
  </si>
  <si>
    <t>157 East 57th Street</t>
  </si>
  <si>
    <t>16A</t>
  </si>
  <si>
    <t>2BR/2BTH EASY FLEX 3 WITH TERRACE AND W/D</t>
  </si>
  <si>
    <t>first call DM 212-688-4842</t>
  </si>
  <si>
    <t>37 East 65th Street</t>
  </si>
  <si>
    <t>25 West 68th Street</t>
  </si>
  <si>
    <t>KWDM 212-787-3199</t>
  </si>
  <si>
    <t>219 East 69th Street</t>
  </si>
  <si>
    <t>PHA</t>
  </si>
  <si>
    <t>STUDIO WITH TERRACE!</t>
  </si>
  <si>
    <t>KWDM 212-650-1671</t>
  </si>
  <si>
    <t>2BR/2BTH</t>
  </si>
  <si>
    <t>9F</t>
  </si>
  <si>
    <t>call DM 212-787-3199 once vacant</t>
  </si>
  <si>
    <t>10HJ</t>
  </si>
  <si>
    <t>4BR/4BTH</t>
  </si>
  <si>
    <t>first call DM 212-650-1671</t>
  </si>
  <si>
    <t>147 East 72nd Street</t>
  </si>
  <si>
    <t>still occupied 1-Aug</t>
  </si>
  <si>
    <t>160 West 73rd Street</t>
  </si>
  <si>
    <t>KWDM 212-877-6700</t>
  </si>
  <si>
    <t>8K</t>
  </si>
  <si>
    <t>3RN</t>
  </si>
  <si>
    <t>STUDIO WITH NOOK STUDIO WITH NOOK</t>
  </si>
  <si>
    <t>Super Rowan 646-660-3565 vacant Super Rowan 646-660-3565 vacant?</t>
  </si>
  <si>
    <t>240 East 82nd Street</t>
  </si>
  <si>
    <t>1BR WITH BALCONY</t>
  </si>
  <si>
    <t>First call DM 212-535-5179</t>
  </si>
  <si>
    <t>ALCOVE STUDIO WITH BALCONY</t>
  </si>
  <si>
    <t>1134 Madison Ave</t>
  </si>
  <si>
    <t>Suiper Tonin 917-836-4211</t>
  </si>
  <si>
    <t>167 East 87th Street</t>
  </si>
  <si>
    <t>5RW</t>
  </si>
  <si>
    <t>Super Zoji 252-558-5739</t>
  </si>
  <si>
    <t>400 East 89th Street</t>
  </si>
  <si>
    <t>5M</t>
  </si>
  <si>
    <t>6J</t>
  </si>
  <si>
    <t>3BR/3BTH WITH ALCOVE AND WASHER/DRYER! 3BR/3BTH WITH ALCOVE AND WASHER/DRYER! 2BR/2BTH WITH ALCOVE DINING AREA (EASY FLEX 3) PLUS W/D AND MASSIVE PRIVATE TERRACE!</t>
  </si>
  <si>
    <t>call DM 212-289-6271 vacant call DM 212-289-6271 08/01/26 still occupied</t>
  </si>
  <si>
    <t>#12</t>
  </si>
  <si>
    <t>1BR STUDIO 1BR WITH UNIQUE SHOWER IN THE KITCHEN</t>
  </si>
  <si>
    <t>Super Klodian 646-957-0202 vacant Super Klodian above vacant call Super Klodian 646-957-0202</t>
  </si>
  <si>
    <t>228 East 89th Street</t>
  </si>
  <si>
    <t>#4W</t>
  </si>
  <si>
    <t>FLOORTHRU RAILROAD 5 ROOM APT</t>
  </si>
  <si>
    <t>309 Mott Street</t>
  </si>
  <si>
    <t>#5C</t>
  </si>
  <si>
    <t>156 East 37th Street</t>
  </si>
  <si>
    <t>1BDR</t>
  </si>
  <si>
    <t>Super Edgar 646-860-5068</t>
  </si>
  <si>
    <t>2BR</t>
  </si>
  <si>
    <t>957 Second Avenue</t>
  </si>
  <si>
    <t>3BR/1BTH</t>
  </si>
  <si>
    <t>Super Benny 646-860-5072</t>
  </si>
  <si>
    <t>1BR 1BR 1BR WITH DOUBLE TERRACE! 2BR/2BTH</t>
  </si>
  <si>
    <t>Buzz Elevatorman to take you up vacant 646-300-5021 Buzz Elevatorman to take you up vacant 646-300-5021 Buzz Elevatorman to take you up vacant 646-300-5021 CALL FIRST - Buzz Elevatorman to vacant take you up 646-300-5021 still occupied 08/01/26</t>
  </si>
  <si>
    <t>1075 First Ave</t>
  </si>
  <si>
    <t>apt door open, call Mark Danich or Super vacant Selim 646-860-5083</t>
  </si>
  <si>
    <t>163 East 87th Street</t>
  </si>
  <si>
    <t>1RE</t>
  </si>
  <si>
    <t>300 East 49th Street</t>
  </si>
  <si>
    <t>401 East 58th Street</t>
  </si>
  <si>
    <t>B8</t>
  </si>
  <si>
    <t>235 West</t>
  </si>
  <si>
    <t>STUDIO WITH OUTDOOR PATIO</t>
  </si>
  <si>
    <t>call Super Jose 646-860-5087 vacant</t>
  </si>
  <si>
    <t>151 East 71st Street</t>
  </si>
  <si>
    <t>2BR/3BTH</t>
  </si>
  <si>
    <t>150 Remsen 150 Remsen</t>
  </si>
  <si>
    <t>#6</t>
  </si>
  <si>
    <t>STUDIO STUDIO WITH NOOK</t>
  </si>
  <si>
    <t>SUPER GEORGE 646-627-0409 VACANT SUPER GEORGE 646-627-0409</t>
  </si>
  <si>
    <t>154 Henry</t>
  </si>
  <si>
    <t>#3A</t>
  </si>
  <si>
    <t>STUDIO WITH TERRACE</t>
  </si>
  <si>
    <t>Super Edmond 646-627-0314</t>
  </si>
  <si>
    <t>137 East 38th Street</t>
  </si>
  <si>
    <t>2BR/2BTH EASY FLEX 3BR</t>
  </si>
  <si>
    <t>? FIRST CALL DM 212-682-1760</t>
  </si>
  <si>
    <t>140 West 55th Street</t>
  </si>
  <si>
    <t>Super Isidro 646-860-5073 M-F or vacant call Mark Super Sammy 646-860-5086</t>
  </si>
  <si>
    <t>161 East 55th Street</t>
  </si>
  <si>
    <t>922 Third Ave</t>
  </si>
  <si>
    <t>4R</t>
  </si>
  <si>
    <t>1BR EASY FLEX 2</t>
  </si>
  <si>
    <t>Super Ermal 646-860-5079 apt door might vacant be open, call Mark if needed</t>
  </si>
  <si>
    <t>80 Cranberry 80 Cranberry</t>
  </si>
  <si>
    <t>1BR STUDIO</t>
  </si>
  <si>
    <t>still occupied 08/01/26 CALL FIRST, then KWDM 718-624- VACANT 3900</t>
  </si>
  <si>
    <t>Rented since last hot-sheet (2026-07-07)</t>
  </si>
  <si>
    <t>1045 Lexington Avenue</t>
  </si>
  <si>
    <t>7P</t>
  </si>
  <si>
    <t>1427 York Avenue</t>
  </si>
  <si>
    <t>3H</t>
  </si>
  <si>
    <t>145 West 55th Street</t>
  </si>
  <si>
    <t>14C</t>
  </si>
  <si>
    <t>8B</t>
  </si>
  <si>
    <t>20C</t>
  </si>
  <si>
    <t>307 Mott Street</t>
  </si>
  <si>
    <t>#2A</t>
  </si>
  <si>
    <t>401 East 88th Street</t>
  </si>
  <si>
    <t>15D</t>
  </si>
  <si>
    <t>9-O</t>
  </si>
  <si>
    <t>43 East 74th Street</t>
  </si>
  <si>
    <t>64 West 9th Street</t>
  </si>
  <si>
    <t>2N</t>
  </si>
  <si>
    <t>80 Cranberry</t>
  </si>
  <si>
    <t>6N</t>
  </si>
  <si>
    <t>Price changes since last hot-sheet (2026-07-07)</t>
  </si>
  <si>
    <t>CONTACT</t>
  </si>
  <si>
    <t>BUILDING ADDRESS</t>
  </si>
  <si>
    <t>APT.</t>
  </si>
  <si>
    <t xml:space="preserve">RENT </t>
  </si>
  <si>
    <t xml:space="preserve">AVAILABILITY </t>
  </si>
  <si>
    <t xml:space="preserve">ACCESS THRU </t>
  </si>
  <si>
    <t xml:space="preserve">DESCRIPTION </t>
  </si>
  <si>
    <t>Celsa</t>
  </si>
  <si>
    <t xml:space="preserve">306 West 73 Street </t>
  </si>
  <si>
    <t xml:space="preserve">IMMEDIATE </t>
  </si>
  <si>
    <t xml:space="preserve">OPEN </t>
  </si>
  <si>
    <r>
      <rPr>
        <rFont val="Century Schoolbook"/>
        <b/>
        <color theme="1"/>
        <sz val="12.0"/>
      </rPr>
      <t xml:space="preserve">1/2 MO. OP </t>
    </r>
    <r>
      <rPr>
        <rFont val="Century Schoolbook"/>
        <color theme="1"/>
        <sz val="12.0"/>
      </rPr>
      <t xml:space="preserve">Spacious One Bedroo w/Huge Private Terrace, Loft, Exposed Brick, Deco Fireplace, Loft, Breakfast Bar </t>
    </r>
  </si>
  <si>
    <t>AFRIM</t>
  </si>
  <si>
    <t>814 TENTH AVENUE</t>
  </si>
  <si>
    <t>ACCESS THRU TENANT</t>
  </si>
  <si>
    <r>
      <rPr>
        <rFont val="Century Schoolbook"/>
        <b/>
        <color theme="1"/>
        <sz val="12.0"/>
      </rPr>
      <t>1/2 MO. OP.</t>
    </r>
    <r>
      <rPr>
        <rFont val="Century Schoolbook"/>
        <color theme="1"/>
        <sz val="12.0"/>
      </rPr>
      <t xml:space="preserve"> Exra Spacious Hell's Kitchen 1 Bedroom Apt Boasting Full Service Kitchen With S/S Appliances, Exp Brick, Frech Doors In Elevator_Laundry Bldg!</t>
    </r>
  </si>
  <si>
    <t>67 WEST 73 STREET</t>
  </si>
  <si>
    <t>4B</t>
  </si>
  <si>
    <r>
      <rPr>
        <rFont val="Century Schoolbook"/>
        <b/>
        <color theme="1"/>
        <sz val="12.0"/>
      </rPr>
      <t xml:space="preserve">3/4 MO. OP. </t>
    </r>
    <r>
      <rPr>
        <rFont val="Century Schoolbook"/>
        <b val="0"/>
        <color theme="1"/>
        <sz val="12.0"/>
      </rPr>
      <t xml:space="preserve">Extra Spacious, Sun Drenched 1 BR On Park Block In Prime Location! </t>
    </r>
  </si>
  <si>
    <t xml:space="preserve">255 WEST 93 STREET </t>
  </si>
  <si>
    <t>2S</t>
  </si>
  <si>
    <r>
      <rPr>
        <rFont val="Century Schoolbook"/>
        <b/>
        <color theme="1"/>
        <sz val="12.0"/>
      </rPr>
      <t xml:space="preserve">1/2 MO. OP - </t>
    </r>
    <r>
      <rPr>
        <rFont val="Century Schoolbook"/>
        <b val="0"/>
        <color theme="1"/>
        <sz val="12.0"/>
      </rPr>
      <t>Spacious One Bedroom Apt / W Decorative Fire Place, Exposed Brick, Storage Loft, Separate Kitchen In Prime Location!</t>
    </r>
  </si>
  <si>
    <t>*162 WEST 80 STREET</t>
  </si>
  <si>
    <r>
      <rPr>
        <rFont val="Century Schoolbook"/>
        <b/>
        <color theme="1"/>
        <sz val="12.0"/>
      </rPr>
      <t>1/2 MO. OP -</t>
    </r>
    <r>
      <rPr>
        <rFont val="Century Schoolbook"/>
        <b val="0"/>
        <color theme="1"/>
        <sz val="12.0"/>
      </rPr>
      <t xml:space="preserve"> Extra Spacious Winged 2 Bedroom Apt With Exposed Brick, Renovated Full Service Kitchen In Elevator_Laundry Building! </t>
    </r>
  </si>
  <si>
    <t>199 Bleecker Street</t>
  </si>
  <si>
    <t>Tom Bohan tbohan@bondnewyork.com</t>
  </si>
  <si>
    <t>237 East 34th Street</t>
  </si>
  <si>
    <t>Large XL L-shape studio</t>
  </si>
  <si>
    <t>JR 1 BD / 1 BA</t>
  </si>
  <si>
    <t>MP Link 202</t>
  </si>
  <si>
    <t>Studio / 1 BA</t>
  </si>
  <si>
    <t xml:space="preserve">Flex 3 / 4 bed </t>
  </si>
  <si>
    <t>Flex 2 BR / 2 BA</t>
  </si>
  <si>
    <t>2BR/2BA with 2 balconies</t>
  </si>
  <si>
    <t>Studio</t>
  </si>
  <si>
    <t>245 West 51st</t>
  </si>
  <si>
    <t>2 Bed/1 Bath</t>
  </si>
  <si>
    <t>XL 2BR/1BA</t>
  </si>
  <si>
    <t>3 Bed / 1 Bath</t>
  </si>
  <si>
    <t>3BR/1BA</t>
  </si>
  <si>
    <t>$250 utilities</t>
  </si>
  <si>
    <t>324 West 84th Street</t>
  </si>
  <si>
    <t>1 BR/1BA</t>
  </si>
  <si>
    <t>LB</t>
  </si>
  <si>
    <t>1BR/1BA with outdoor space</t>
  </si>
  <si>
    <t>125 E 7th Street</t>
  </si>
  <si>
    <t>2W</t>
  </si>
  <si>
    <t>FM</t>
  </si>
  <si>
    <t>TRO - NO OP</t>
  </si>
  <si>
    <t>1BR D/A</t>
  </si>
  <si>
    <t>WD</t>
  </si>
  <si>
    <t>HOLD</t>
  </si>
  <si>
    <t>12J</t>
  </si>
  <si>
    <t>Premium kitchen WD</t>
  </si>
  <si>
    <t>230 East 30th Street</t>
  </si>
  <si>
    <t>8G – 1 Bedroom – $4,495</t>
  </si>
  <si>
    <t>6C – Convertible 2 Bedroom + Double Exposure – $5,095</t>
  </si>
  <si>
    <t>9A – XL True 2 Bedroom – $6,450</t>
  </si>
  <si>
    <t>12J – XL True 2 Bedroom – $6,495</t>
  </si>
  <si>
    <t>2A – Convertible 3 Bedroom + Terrace – $8,395</t>
  </si>
  <si>
    <t>11A – Convertible 3 Bedroom – $7,995</t>
  </si>
  <si>
    <t>214 East 24th Street</t>
  </si>
  <si>
    <t>6H – XL 1 Bedroom – $5,295</t>
  </si>
  <si>
    <t>207 East 27th Street</t>
  </si>
  <si>
    <t>PHL – Penthouse Studio – $3,595</t>
  </si>
  <si>
    <t>AGENT</t>
  </si>
  <si>
    <t>ACCESS</t>
  </si>
  <si>
    <t>Streeteasy Agent</t>
  </si>
  <si>
    <t xml:space="preserve">273 East 10 </t>
  </si>
  <si>
    <t>1br</t>
  </si>
  <si>
    <t>occupied-  8/3/2026</t>
  </si>
  <si>
    <t>dbella@bondnewyork.com</t>
  </si>
  <si>
    <t>50% /month OP to cooperating BOND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</si>
</sst>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&quot;$&quot;#,##0"/>
    <numFmt numFmtId="165" formatCode="&quot;$&quot;#,##0.00"/>
    <numFmt numFmtId="166" formatCode="mm/dd/yyyy"/>
    <numFmt numFmtId="167" formatCode="m/d"/>
    <numFmt numFmtId="168" formatCode="$#,##0.00"/>
    <numFmt numFmtId="169" formatCode="mmm d"/>
    <numFmt numFmtId="170" formatCode="m/d/yyyy"/>
    <numFmt numFmtId="171" formatCode="mmmm d"/>
    <numFmt numFmtId="172" formatCode="m/d/yy"/>
    <numFmt numFmtId="173" formatCode="mm/dd/yy"/>
    <numFmt numFmtId="174" formatCode="d-mmm"/>
    <numFmt numFmtId="175" formatCode="d-mmmm"/>
    <numFmt numFmtId="176" formatCode="mmmm d, yyyy"/>
    <numFmt numFmtId="177" formatCode="&quot;$&quot;#,##0.00_);[Red]\(&quot;$&quot;#,##0.00\)"/>
    <numFmt numFmtId="178" formatCode="[$-409]mmmm\ d\,\ yyyy"/>
    <numFmt numFmtId="179" formatCode="_(&quot;$&quot;* #,##0.00_);_(&quot;$&quot;* \(#,##0.00\);_(&quot;$&quot;* &quot;-&quot;??_);_(@_)"/>
  </numFmts>
  <fonts count="7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Aptos Narrow"/>
    </font>
    <font>
      <b/>
      <color rgb="FFFFFFFF"/>
      <name val="Arial"/>
    </font>
    <font>
      <color theme="1"/>
      <name val="Arial"/>
    </font>
    <font>
      <u/>
      <color rgb="FF1155CC"/>
      <name val="Arial"/>
    </font>
    <font>
      <b/>
      <sz val="11.0"/>
      <color rgb="FFFFFFFF"/>
      <name val="Calibri"/>
    </font>
    <font>
      <b/>
      <color rgb="FFFFFFFF"/>
      <name val="Calibri"/>
    </font>
    <font>
      <b/>
      <u/>
      <color rgb="FFFFFFFF"/>
      <name val="Calibri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b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sz val="11.0"/>
      <color rgb="FFFFFFFF"/>
      <name val="Calibri"/>
    </font>
    <font>
      <b/>
      <sz val="14.0"/>
      <color theme="1"/>
      <name val="Calibri"/>
    </font>
    <font>
      <u/>
      <sz val="11.0"/>
      <color rgb="FF1155CC"/>
      <name val="Calibri"/>
    </font>
    <font>
      <b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color rgb="FFFF0000"/>
      <name val="Arial"/>
    </font>
    <font>
      <color theme="1"/>
      <name val="Calibri"/>
    </font>
    <font>
      <color rgb="FFFFFFFF"/>
      <name val="Calibri"/>
    </font>
    <font>
      <b/>
      <u/>
      <color rgb="FF1155CC"/>
      <name val="Arial"/>
    </font>
    <font>
      <color theme="1"/>
      <name val="Arial"/>
      <scheme val="minor"/>
    </font>
    <font>
      <b/>
      <color rgb="FF222222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u/>
      <color rgb="FFFF0000"/>
      <name val="Arial"/>
    </font>
    <font>
      <b/>
      <u/>
      <color rgb="FFFFBF00"/>
      <name val="Arial"/>
    </font>
    <font>
      <b/>
      <u/>
      <color rgb="FFFF0000"/>
      <name val="Arial"/>
    </font>
    <font>
      <u/>
      <color rgb="FF0000FF"/>
      <name val="Arial"/>
    </font>
    <font>
      <b/>
      <u/>
      <color rgb="FFFF0000"/>
      <name val="Arial"/>
    </font>
    <font>
      <b/>
      <u/>
      <sz val="11.0"/>
      <color theme="1"/>
      <name val="Century Schoolbook"/>
    </font>
    <font>
      <b/>
      <u/>
      <sz val="12.0"/>
      <color theme="1"/>
      <name val="Century Schoolbook"/>
    </font>
    <font>
      <b/>
      <u/>
      <sz val="12.0"/>
      <color theme="1"/>
      <name val="Century Schoolbook"/>
    </font>
    <font>
      <b/>
      <u/>
      <sz val="12.0"/>
      <color theme="1"/>
      <name val="Century Schoolbook"/>
    </font>
    <font>
      <b/>
      <u/>
      <sz val="12.0"/>
      <color theme="1"/>
      <name val="Century Schoolbook"/>
    </font>
    <font>
      <b/>
      <sz val="11.0"/>
      <color theme="1"/>
      <name val="Century Schoolbook"/>
    </font>
    <font>
      <sz val="12.0"/>
      <color theme="1"/>
      <name val="Century Schoolbook"/>
    </font>
    <font>
      <b/>
      <sz val="14.0"/>
      <color theme="1"/>
      <name val="Century Schoolbook"/>
    </font>
    <font>
      <b/>
      <u/>
      <sz val="14.0"/>
      <color rgb="FF0563C1"/>
      <name val="Century Schoolbook"/>
    </font>
    <font>
      <u/>
      <color rgb="FF0563C1"/>
      <name val="Arial"/>
    </font>
    <font>
      <b/>
      <sz val="12.0"/>
      <color theme="1"/>
      <name val="Century Schoolbook"/>
    </font>
    <font>
      <b/>
      <u/>
      <sz val="14.0"/>
      <color rgb="FF0563C1"/>
      <name val="Century Schoolbook"/>
    </font>
    <font>
      <u/>
      <color rgb="FF1155CC"/>
      <name val="Arial"/>
    </font>
    <font>
      <u/>
      <color rgb="FF222222"/>
      <name val="Arial"/>
    </font>
    <font>
      <color rgb="FF222222"/>
      <name val="Arial"/>
    </font>
    <font>
      <u/>
      <color rgb="FF1155CC"/>
      <name val="Arial"/>
    </font>
    <font>
      <u/>
      <color rgb="FF222222"/>
      <name val="Arial"/>
    </font>
    <font>
      <sz val="11.0"/>
      <color rgb="FF222222"/>
      <name val="Calibri"/>
    </font>
    <font>
      <sz val="11.0"/>
      <color rgb="FF222222"/>
      <name val="Arial"/>
    </font>
    <font>
      <color rgb="FF1F1F1F"/>
      <name val="Arial"/>
    </font>
    <font>
      <sz val="9.0"/>
      <color theme="1"/>
      <name val="Arial Narrow"/>
    </font>
    <font>
      <u/>
      <sz val="11.0"/>
      <color rgb="FF0563C1"/>
      <name val="Calibri"/>
    </font>
    <font>
      <b/>
      <sz val="14.0"/>
      <color theme="1"/>
      <name val="Arial"/>
    </font>
    <font>
      <b/>
      <sz val="12.0"/>
      <color rgb="FFFFFFFF"/>
      <name val="Calibri"/>
    </font>
    <font>
      <sz val="12.0"/>
      <color rgb="FFFFFFFF"/>
      <name val="Calibri"/>
    </font>
    <font>
      <sz val="12.0"/>
      <color theme="1"/>
      <name val="Calibri"/>
    </font>
    <font>
      <sz val="12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91D04F"/>
        <bgColor rgb="FF91D04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3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4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7" fontId="6" numFmtId="164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8" fontId="7" numFmtId="0" xfId="0" applyAlignment="1" applyFill="1" applyFont="1">
      <alignment horizontal="center" vertical="bottom"/>
    </xf>
    <xf borderId="0" fillId="2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0" fontId="7" numFmtId="167" xfId="0" applyAlignment="1" applyFont="1" applyNumberFormat="1">
      <alignment horizontal="center" vertical="bottom"/>
    </xf>
    <xf borderId="0" fillId="0" fontId="7" numFmtId="164" xfId="0" applyAlignment="1" applyFont="1" applyNumberFormat="1">
      <alignment vertical="bottom"/>
    </xf>
    <xf borderId="0" fillId="0" fontId="7" numFmtId="167" xfId="0" applyAlignment="1" applyFont="1" applyNumberFormat="1">
      <alignment vertical="bottom"/>
    </xf>
    <xf borderId="0" fillId="8" fontId="6" numFmtId="0" xfId="0" applyAlignment="1" applyFont="1">
      <alignment horizontal="center" vertical="bottom"/>
    </xf>
    <xf borderId="0" fillId="8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7" fontId="9" numFmtId="0" xfId="0" applyAlignment="1" applyFont="1">
      <alignment horizontal="center" vertical="bottom"/>
    </xf>
    <xf borderId="0" fillId="7" fontId="9" numFmtId="167" xfId="0" applyAlignment="1" applyFont="1" applyNumberFormat="1">
      <alignment horizontal="center" vertical="bottom"/>
    </xf>
    <xf borderId="0" fillId="7" fontId="10" numFmtId="167" xfId="0" applyAlignment="1" applyFont="1" applyNumberFormat="1">
      <alignment horizontal="center" vertical="bottom"/>
    </xf>
    <xf borderId="0" fillId="7" fontId="10" numFmtId="0" xfId="0" applyAlignment="1" applyFont="1">
      <alignment horizontal="center" vertical="bottom"/>
    </xf>
    <xf borderId="0" fillId="7" fontId="10" numFmtId="165" xfId="0" applyAlignment="1" applyFont="1" applyNumberFormat="1">
      <alignment horizontal="center" vertical="bottom"/>
    </xf>
    <xf borderId="0" fillId="7" fontId="10" numFmtId="0" xfId="0" applyAlignment="1" applyFont="1">
      <alignment vertical="bottom"/>
    </xf>
    <xf borderId="0" fillId="7" fontId="7" numFmtId="165" xfId="0" applyAlignment="1" applyFont="1" applyNumberFormat="1">
      <alignment vertical="bottom"/>
    </xf>
    <xf borderId="0" fillId="7" fontId="7" numFmtId="0" xfId="0" applyAlignment="1" applyFont="1">
      <alignment vertical="bottom"/>
    </xf>
    <xf borderId="0" fillId="7" fontId="9" numFmtId="0" xfId="0" applyAlignment="1" applyFont="1">
      <alignment horizontal="center" readingOrder="0" vertical="bottom"/>
    </xf>
    <xf borderId="0" fillId="7" fontId="9" numFmtId="0" xfId="0" applyAlignment="1" applyFont="1">
      <alignment horizontal="center" vertical="bottom"/>
    </xf>
    <xf borderId="0" fillId="7" fontId="9" numFmtId="167" xfId="0" applyAlignment="1" applyFont="1" applyNumberFormat="1">
      <alignment horizontal="center" vertical="bottom"/>
    </xf>
    <xf borderId="0" fillId="7" fontId="11" numFmtId="167" xfId="0" applyAlignment="1" applyFont="1" applyNumberFormat="1">
      <alignment horizontal="center" vertical="bottom"/>
    </xf>
    <xf borderId="0" fillId="7" fontId="10" numFmtId="0" xfId="0" applyAlignment="1" applyFont="1">
      <alignment horizontal="center" vertical="bottom"/>
    </xf>
    <xf borderId="0" fillId="7" fontId="10" numFmtId="165" xfId="0" applyAlignment="1" applyFont="1" applyNumberFormat="1">
      <alignment horizontal="center" vertical="bottom"/>
    </xf>
    <xf borderId="0" fillId="7" fontId="10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7" fontId="7" numFmtId="165" xfId="0" applyAlignment="1" applyFont="1" applyNumberFormat="1">
      <alignment vertical="bottom"/>
    </xf>
    <xf borderId="0" fillId="9" fontId="7" numFmtId="0" xfId="0" applyAlignment="1" applyFill="1" applyFont="1">
      <alignment vertical="bottom"/>
    </xf>
    <xf borderId="0" fillId="9" fontId="7" numFmtId="167" xfId="0" applyAlignment="1" applyFont="1" applyNumberFormat="1">
      <alignment horizontal="center" vertical="bottom"/>
    </xf>
    <xf borderId="0" fillId="9" fontId="12" numFmtId="167" xfId="0" applyAlignment="1" applyFont="1" applyNumberFormat="1">
      <alignment vertical="bottom"/>
    </xf>
    <xf borderId="0" fillId="2" fontId="7" numFmtId="0" xfId="0" applyAlignment="1" applyFont="1">
      <alignment vertical="bottom"/>
    </xf>
    <xf borderId="0" fillId="9" fontId="7" numFmtId="0" xfId="0" applyAlignment="1" applyFont="1">
      <alignment horizontal="center" vertical="bottom"/>
    </xf>
    <xf borderId="0" fillId="3" fontId="7" numFmtId="165" xfId="0" applyAlignment="1" applyFont="1" applyNumberFormat="1">
      <alignment horizontal="center" vertical="bottom"/>
    </xf>
    <xf borderId="0" fillId="9" fontId="7" numFmtId="165" xfId="0" applyAlignment="1" applyFont="1" applyNumberFormat="1">
      <alignment horizontal="center" vertical="bottom"/>
    </xf>
    <xf borderId="0" fillId="0" fontId="7" numFmtId="165" xfId="0" applyAlignment="1" applyFont="1" applyNumberFormat="1">
      <alignment vertical="bottom"/>
    </xf>
    <xf borderId="0" fillId="8" fontId="7" numFmtId="0" xfId="0" applyAlignment="1" applyFont="1">
      <alignment vertical="bottom"/>
    </xf>
    <xf borderId="0" fillId="8" fontId="7" numFmtId="167" xfId="0" applyAlignment="1" applyFont="1" applyNumberFormat="1">
      <alignment vertical="bottom"/>
    </xf>
    <xf borderId="0" fillId="3" fontId="7" numFmtId="167" xfId="0" applyAlignment="1" applyFont="1" applyNumberFormat="1">
      <alignment horizontal="center" vertical="bottom"/>
    </xf>
    <xf borderId="0" fillId="8" fontId="13" numFmtId="0" xfId="0" applyAlignment="1" applyFont="1">
      <alignment vertical="bottom"/>
    </xf>
    <xf borderId="0" fillId="8" fontId="7" numFmtId="0" xfId="0" applyAlignment="1" applyFont="1">
      <alignment horizontal="center" vertical="bottom"/>
    </xf>
    <xf borderId="0" fillId="8" fontId="7" numFmtId="165" xfId="0" applyAlignment="1" applyFont="1" applyNumberFormat="1">
      <alignment horizontal="center" vertical="bottom"/>
    </xf>
    <xf borderId="0" fillId="8" fontId="7" numFmtId="165" xfId="0" applyAlignment="1" applyFont="1" applyNumberFormat="1">
      <alignment horizontal="right" vertical="bottom"/>
    </xf>
    <xf borderId="0" fillId="10" fontId="7" numFmtId="0" xfId="0" applyAlignment="1" applyFill="1" applyFont="1">
      <alignment vertical="bottom"/>
    </xf>
    <xf borderId="0" fillId="10" fontId="7" numFmtId="167" xfId="0" applyAlignment="1" applyFont="1" applyNumberFormat="1">
      <alignment horizontal="center" vertical="bottom"/>
    </xf>
    <xf borderId="0" fillId="10" fontId="14" numFmtId="167" xfId="0" applyAlignment="1" applyFont="1" applyNumberFormat="1">
      <alignment vertical="bottom"/>
    </xf>
    <xf borderId="0" fillId="10" fontId="7" numFmtId="0" xfId="0" applyAlignment="1" applyFont="1">
      <alignment horizontal="center" vertical="bottom"/>
    </xf>
    <xf borderId="0" fillId="10" fontId="7" numFmtId="165" xfId="0" applyAlignment="1" applyFont="1" applyNumberFormat="1">
      <alignment horizontal="center" vertical="bottom"/>
    </xf>
    <xf borderId="0" fillId="10" fontId="7" numFmtId="165" xfId="0" applyAlignment="1" applyFont="1" applyNumberFormat="1">
      <alignment horizontal="right" vertical="bottom"/>
    </xf>
    <xf borderId="0" fillId="8" fontId="7" numFmtId="167" xfId="0" applyAlignment="1" applyFont="1" applyNumberFormat="1">
      <alignment horizontal="center" vertical="bottom"/>
    </xf>
    <xf borderId="0" fillId="8" fontId="15" numFmtId="167" xfId="0" applyAlignment="1" applyFont="1" applyNumberFormat="1">
      <alignment vertical="bottom"/>
    </xf>
    <xf borderId="0" fillId="10" fontId="16" numFmtId="0" xfId="0" applyAlignment="1" applyFont="1">
      <alignment vertical="bottom"/>
    </xf>
    <xf borderId="0" fillId="3" fontId="17" numFmtId="0" xfId="0" applyAlignment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11" fontId="18" numFmtId="0" xfId="0" applyAlignment="1" applyFill="1" applyFont="1">
      <alignment readingOrder="0"/>
    </xf>
    <xf borderId="0" fillId="10" fontId="19" numFmtId="0" xfId="0" applyAlignment="1" applyFont="1">
      <alignment horizontal="center" vertical="bottom"/>
    </xf>
    <xf borderId="0" fillId="8" fontId="20" numFmtId="0" xfId="0" applyAlignment="1" applyFont="1">
      <alignment horizontal="center" vertical="bottom"/>
    </xf>
    <xf borderId="0" fillId="8" fontId="7" numFmtId="165" xfId="0" applyAlignment="1" applyFont="1" applyNumberFormat="1">
      <alignment vertical="bottom"/>
    </xf>
    <xf borderId="0" fillId="10" fontId="7" numFmtId="165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7" fontId="21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12" fontId="24" numFmtId="49" xfId="0" applyAlignment="1" applyFill="1" applyFont="1" applyNumberFormat="1">
      <alignment shrinkToFit="0" vertical="bottom" wrapText="1"/>
    </xf>
    <xf borderId="0" fillId="12" fontId="7" numFmtId="165" xfId="0" applyAlignment="1" applyFont="1" applyNumberFormat="1">
      <alignment vertical="bottom"/>
    </xf>
    <xf borderId="0" fillId="12" fontId="7" numFmtId="0" xfId="0" applyAlignment="1" applyFont="1">
      <alignment vertical="bottom"/>
    </xf>
    <xf borderId="0" fillId="0" fontId="7" numFmtId="49" xfId="0" applyAlignment="1" applyFont="1" applyNumberFormat="1">
      <alignment shrinkToFit="0" vertical="bottom" wrapText="1"/>
    </xf>
    <xf borderId="0" fillId="0" fontId="25" numFmtId="165" xfId="0" applyAlignment="1" applyFont="1" applyNumberFormat="1">
      <alignment shrinkToFit="0" vertical="bottom" wrapText="1"/>
    </xf>
    <xf borderId="0" fillId="0" fontId="7" numFmtId="168" xfId="0" applyAlignment="1" applyFont="1" applyNumberForma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169" xfId="0" applyAlignment="1" applyFont="1" applyNumberFormat="1">
      <alignment vertical="bottom"/>
    </xf>
    <xf borderId="0" fillId="12" fontId="7" numFmtId="168" xfId="0" applyAlignment="1" applyFont="1" applyNumberFormat="1">
      <alignment vertical="bottom"/>
    </xf>
    <xf borderId="0" fillId="0" fontId="7" numFmtId="170" xfId="0" applyAlignment="1" applyFont="1" applyNumberFormat="1">
      <alignment vertical="bottom"/>
    </xf>
    <xf borderId="0" fillId="13" fontId="7" numFmtId="49" xfId="0" applyAlignment="1" applyFill="1" applyFont="1" applyNumberFormat="1">
      <alignment shrinkToFit="0" vertical="bottom" wrapText="1"/>
    </xf>
    <xf borderId="0" fillId="13" fontId="7" numFmtId="0" xfId="0" applyAlignment="1" applyFont="1">
      <alignment vertical="bottom"/>
    </xf>
    <xf borderId="0" fillId="13" fontId="7" numFmtId="168" xfId="0" applyAlignment="1" applyFont="1" applyNumberFormat="1">
      <alignment horizontal="right" shrinkToFit="0" vertical="bottom" wrapText="1"/>
    </xf>
    <xf borderId="0" fillId="13" fontId="7" numFmtId="0" xfId="0" applyAlignment="1" applyFont="1">
      <alignment shrinkToFit="0" vertical="bottom" wrapText="1"/>
    </xf>
    <xf borderId="0" fillId="13" fontId="7" numFmtId="166" xfId="0" applyAlignment="1" applyFont="1" applyNumberFormat="1">
      <alignment horizontal="right" shrinkToFit="0" vertical="bottom" wrapText="1"/>
    </xf>
    <xf borderId="0" fillId="13" fontId="26" numFmtId="0" xfId="0" applyAlignment="1" applyFont="1">
      <alignment shrinkToFit="0" vertical="bottom" wrapText="1"/>
    </xf>
    <xf borderId="0" fillId="0" fontId="27" numFmtId="0" xfId="0" applyAlignment="1" applyFont="1">
      <alignment shrinkToFit="0" vertical="bottom" wrapText="1"/>
    </xf>
    <xf borderId="0" fillId="12" fontId="24" numFmtId="0" xfId="0" applyAlignment="1" applyFont="1">
      <alignment shrinkToFit="0" vertical="bottom" wrapText="1"/>
    </xf>
    <xf borderId="0" fillId="12" fontId="7" numFmtId="170" xfId="0" applyAlignment="1" applyFont="1" applyNumberFormat="1">
      <alignment vertical="bottom"/>
    </xf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shrinkToFit="0" vertical="bottom" wrapText="1"/>
    </xf>
    <xf borderId="0" fillId="6" fontId="24" numFmtId="0" xfId="0" applyAlignment="1" applyFont="1">
      <alignment shrinkToFit="0" vertical="bottom" wrapText="1"/>
    </xf>
    <xf borderId="0" fillId="6" fontId="7" numFmtId="165" xfId="0" applyAlignment="1" applyFont="1" applyNumberFormat="1">
      <alignment vertical="bottom"/>
    </xf>
    <xf borderId="0" fillId="6" fontId="7" numFmtId="168" xfId="0" applyAlignment="1" applyFont="1" applyNumberFormat="1">
      <alignment vertical="bottom"/>
    </xf>
    <xf borderId="0" fillId="6" fontId="7" numFmtId="170" xfId="0" applyAlignment="1" applyFont="1" applyNumberFormat="1">
      <alignment vertical="bottom"/>
    </xf>
    <xf borderId="0" fillId="0" fontId="28" numFmtId="165" xfId="0" applyAlignment="1" applyFont="1" applyNumberFormat="1">
      <alignment vertical="bottom"/>
    </xf>
    <xf borderId="0" fillId="13" fontId="29" numFmtId="165" xfId="0" applyAlignment="1" applyFont="1" applyNumberFormat="1">
      <alignment shrinkToFit="0" vertical="bottom" wrapText="1"/>
    </xf>
    <xf borderId="0" fillId="13" fontId="7" numFmtId="170" xfId="0" applyAlignment="1" applyFont="1" applyNumberFormat="1">
      <alignment vertical="bottom"/>
    </xf>
    <xf borderId="0" fillId="13" fontId="30" numFmtId="165" xfId="0" applyAlignment="1" applyFont="1" applyNumberFormat="1">
      <alignment vertical="bottom"/>
    </xf>
    <xf borderId="0" fillId="13" fontId="7" numFmtId="166" xfId="0" applyAlignment="1" applyFont="1" applyNumberFormat="1">
      <alignment vertical="bottom"/>
    </xf>
    <xf borderId="0" fillId="13" fontId="7" numFmtId="169" xfId="0" applyAlignment="1" applyFont="1" applyNumberFormat="1">
      <alignment vertical="bottom"/>
    </xf>
    <xf borderId="0" fillId="13" fontId="7" numFmtId="165" xfId="0" applyAlignment="1" applyFont="1" applyNumberFormat="1">
      <alignment vertical="bottom"/>
    </xf>
    <xf borderId="0" fillId="12" fontId="7" numFmtId="166" xfId="0" applyAlignment="1" applyFont="1" applyNumberFormat="1">
      <alignment vertical="bottom"/>
    </xf>
    <xf borderId="2" fillId="8" fontId="7" numFmtId="0" xfId="0" applyAlignment="1" applyBorder="1" applyFont="1">
      <alignment vertical="bottom"/>
    </xf>
    <xf borderId="0" fillId="14" fontId="31" numFmtId="0" xfId="0" applyAlignment="1" applyFill="1" applyFont="1">
      <alignment vertical="bottom"/>
    </xf>
    <xf borderId="0" fillId="6" fontId="24" numFmtId="49" xfId="0" applyAlignment="1" applyFont="1" applyNumberFormat="1">
      <alignment shrinkToFit="0" vertical="bottom" wrapText="1"/>
    </xf>
    <xf borderId="0" fillId="6" fontId="7" numFmtId="165" xfId="0" applyAlignment="1" applyFont="1" applyNumberFormat="1">
      <alignment vertical="bottom"/>
    </xf>
    <xf borderId="0" fillId="12" fontId="7" numFmtId="165" xfId="0" applyAlignment="1" applyFont="1" applyNumberFormat="1">
      <alignment vertical="bottom"/>
    </xf>
    <xf borderId="0" fillId="0" fontId="7" numFmtId="49" xfId="0" applyAlignment="1" applyFont="1" applyNumberFormat="1">
      <alignment horizontal="right" shrinkToFit="0" vertical="bottom" wrapText="1"/>
    </xf>
    <xf borderId="0" fillId="15" fontId="7" numFmtId="0" xfId="0" applyAlignment="1" applyFill="1" applyFont="1">
      <alignment vertical="bottom"/>
    </xf>
    <xf borderId="0" fillId="12" fontId="7" numFmtId="167" xfId="0" applyAlignment="1" applyFont="1" applyNumberFormat="1">
      <alignment vertical="bottom"/>
    </xf>
    <xf borderId="0" fillId="13" fontId="7" numFmtId="168" xfId="0" applyAlignment="1" applyFont="1" applyNumberFormat="1">
      <alignment shrinkToFit="0" vertical="bottom" wrapText="1"/>
    </xf>
    <xf borderId="0" fillId="7" fontId="6" numFmtId="0" xfId="0" applyAlignment="1" applyFont="1">
      <alignment shrinkToFit="0" vertical="bottom" wrapText="1"/>
    </xf>
    <xf borderId="0" fillId="12" fontId="17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7" numFmtId="168" xfId="0" applyAlignment="1" applyFont="1" applyNumberFormat="1">
      <alignment vertical="bottom"/>
    </xf>
    <xf borderId="0" fillId="7" fontId="33" numFmtId="0" xfId="0" applyAlignment="1" applyFont="1">
      <alignment vertical="bottom"/>
    </xf>
    <xf borderId="0" fillId="7" fontId="34" numFmtId="0" xfId="0" applyAlignment="1" applyFont="1">
      <alignment horizontal="center" vertical="bottom"/>
    </xf>
    <xf borderId="0" fillId="7" fontId="33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71" xfId="0" applyAlignment="1" applyFont="1" applyNumberFormat="1">
      <alignment vertical="bottom"/>
    </xf>
    <xf borderId="0" fillId="8" fontId="7" numFmtId="0" xfId="0" applyAlignment="1" applyFont="1">
      <alignment vertical="bottom"/>
    </xf>
    <xf borderId="0" fillId="8" fontId="7" numFmtId="167" xfId="0" applyAlignment="1" applyFont="1" applyNumberFormat="1">
      <alignment vertical="bottom"/>
    </xf>
    <xf borderId="0" fillId="8" fontId="7" numFmtId="165" xfId="0" applyAlignment="1" applyFont="1" applyNumberFormat="1">
      <alignment vertical="bottom"/>
    </xf>
    <xf borderId="0" fillId="8" fontId="7" numFmtId="171" xfId="0" applyAlignment="1" applyFont="1" applyNumberFormat="1">
      <alignment vertical="bottom"/>
    </xf>
    <xf borderId="0" fillId="8" fontId="7" numFmtId="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4" fontId="17" numFmtId="0" xfId="0" applyAlignment="1" applyFont="1">
      <alignment vertical="bottom"/>
    </xf>
    <xf borderId="0" fillId="4" fontId="17" numFmtId="167" xfId="0" applyAlignment="1" applyFont="1" applyNumberFormat="1">
      <alignment vertical="bottom"/>
    </xf>
    <xf borderId="0" fillId="4" fontId="17" numFmtId="0" xfId="0" applyAlignment="1" applyFont="1">
      <alignment vertical="bottom"/>
    </xf>
    <xf borderId="0" fillId="4" fontId="35" numFmtId="167" xfId="0" applyAlignment="1" applyFont="1" applyNumberFormat="1">
      <alignment vertical="bottom"/>
    </xf>
    <xf borderId="0" fillId="4" fontId="17" numFmtId="165" xfId="0" applyAlignment="1" applyFont="1" applyNumberFormat="1">
      <alignment vertical="bottom"/>
    </xf>
    <xf borderId="0" fillId="4" fontId="17" numFmtId="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17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36" numFmtId="0" xfId="0" applyAlignment="1" applyFont="1">
      <alignment readingOrder="0"/>
    </xf>
    <xf borderId="0" fillId="15" fontId="17" numFmtId="0" xfId="0" applyAlignment="1" applyFont="1">
      <alignment shrinkToFit="0" vertical="bottom" wrapText="1"/>
    </xf>
    <xf borderId="0" fillId="0" fontId="37" numFmtId="0" xfId="0" applyFont="1"/>
    <xf borderId="0" fillId="8" fontId="37" numFmtId="0" xfId="0" applyFont="1"/>
    <xf borderId="0" fillId="8" fontId="36" numFmtId="0" xfId="0" applyFont="1"/>
    <xf borderId="0" fillId="8" fontId="36" numFmtId="0" xfId="0" applyAlignment="1" applyFont="1">
      <alignment readingOrder="0"/>
    </xf>
    <xf borderId="0" fillId="0" fontId="38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39" numFmtId="0" xfId="0" applyAlignment="1" applyFont="1">
      <alignment shrinkToFit="0" vertical="bottom" wrapText="1"/>
    </xf>
    <xf borderId="0" fillId="16" fontId="17" numFmtId="0" xfId="0" applyAlignment="1" applyFill="1" applyFont="1">
      <alignment shrinkToFit="0" vertical="bottom" wrapText="1"/>
    </xf>
    <xf borderId="0" fillId="0" fontId="7" numFmtId="168" xfId="0" applyAlignment="1" applyFont="1" applyNumberFormat="1">
      <alignment shrinkToFit="0" vertical="bottom" wrapText="1"/>
    </xf>
    <xf borderId="0" fillId="12" fontId="17" numFmtId="0" xfId="0" applyAlignment="1" applyFont="1">
      <alignment shrinkToFit="0" vertical="bottom" wrapText="1"/>
    </xf>
    <xf borderId="0" fillId="13" fontId="17" numFmtId="0" xfId="0" applyAlignment="1" applyFont="1">
      <alignment shrinkToFit="0" vertical="bottom" wrapText="1"/>
    </xf>
    <xf borderId="0" fillId="13" fontId="40" numFmtId="0" xfId="0" applyAlignment="1" applyFont="1">
      <alignment shrinkToFit="0" vertical="bottom" wrapText="1"/>
    </xf>
    <xf borderId="0" fillId="0" fontId="36" numFmtId="0" xfId="0" applyAlignment="1" applyFont="1">
      <alignment horizontal="center"/>
    </xf>
    <xf borderId="0" fillId="0" fontId="17" numFmtId="168" xfId="0" applyAlignment="1" applyFont="1" applyNumberFormat="1">
      <alignment shrinkToFit="0" vertical="bottom" wrapText="1"/>
    </xf>
    <xf borderId="0" fillId="0" fontId="17" numFmtId="164" xfId="0" applyAlignment="1" applyFont="1" applyNumberFormat="1">
      <alignment shrinkToFit="0" vertical="bottom" wrapText="1"/>
    </xf>
    <xf borderId="0" fillId="0" fontId="7" numFmtId="172" xfId="0" applyAlignment="1" applyFont="1" applyNumberFormat="1">
      <alignment shrinkToFit="0" vertical="bottom" wrapText="1"/>
    </xf>
    <xf borderId="0" fillId="12" fontId="24" numFmtId="0" xfId="0" applyAlignment="1" applyFont="1">
      <alignment shrinkToFit="0" vertical="bottom" wrapText="1"/>
    </xf>
    <xf borderId="0" fillId="12" fontId="7" numFmtId="0" xfId="0" applyAlignment="1" applyFont="1">
      <alignment vertical="bottom"/>
    </xf>
    <xf borderId="0" fillId="12" fontId="7" numFmtId="172" xfId="0" applyAlignment="1" applyFont="1" applyNumberFormat="1">
      <alignment vertical="bottom"/>
    </xf>
    <xf borderId="0" fillId="12" fontId="7" numFmtId="164" xfId="0" applyAlignment="1" applyFont="1" applyNumberFormat="1">
      <alignment vertical="bottom"/>
    </xf>
    <xf borderId="0" fillId="0" fontId="7" numFmtId="172" xfId="0" applyAlignment="1" applyFont="1" applyNumberFormat="1">
      <alignment horizontal="right" shrinkToFit="0" vertical="bottom" wrapText="1"/>
    </xf>
    <xf borderId="0" fillId="13" fontId="7" numFmtId="0" xfId="0" applyAlignment="1" applyFont="1">
      <alignment shrinkToFit="0" vertical="bottom" wrapText="1"/>
    </xf>
    <xf borderId="0" fillId="13" fontId="7" numFmtId="0" xfId="0" applyAlignment="1" applyFont="1">
      <alignment vertical="bottom"/>
    </xf>
    <xf borderId="0" fillId="13" fontId="7" numFmtId="168" xfId="0" applyAlignment="1" applyFont="1" applyNumberFormat="1">
      <alignment vertical="bottom"/>
    </xf>
    <xf borderId="0" fillId="13" fontId="7" numFmtId="172" xfId="0" applyAlignment="1" applyFont="1" applyNumberFormat="1">
      <alignment shrinkToFit="0" vertical="bottom" wrapText="1"/>
    </xf>
    <xf borderId="0" fillId="13" fontId="7" numFmtId="172" xfId="0" applyAlignment="1" applyFont="1" applyNumberFormat="1">
      <alignment horizontal="right" shrinkToFit="0" vertical="bottom" wrapText="1"/>
    </xf>
    <xf borderId="0" fillId="12" fontId="7" numFmtId="173" xfId="0" applyAlignment="1" applyFont="1" applyNumberFormat="1">
      <alignment vertical="bottom"/>
    </xf>
    <xf borderId="0" fillId="0" fontId="7" numFmtId="173" xfId="0" applyAlignment="1" applyFont="1" applyNumberFormat="1">
      <alignment vertical="bottom"/>
    </xf>
    <xf borderId="0" fillId="0" fontId="7" numFmtId="173" xfId="0" applyAlignment="1" applyFont="1" applyNumberFormat="1">
      <alignment shrinkToFit="0" vertical="bottom" wrapText="1"/>
    </xf>
    <xf borderId="0" fillId="0" fontId="7" numFmtId="173" xfId="0" applyAlignment="1" applyFont="1" applyNumberFormat="1">
      <alignment horizontal="right" shrinkToFit="0" vertical="bottom" wrapText="1"/>
    </xf>
    <xf borderId="0" fillId="13" fontId="7" numFmtId="173" xfId="0" applyAlignment="1" applyFont="1" applyNumberFormat="1">
      <alignment horizontal="right" shrinkToFit="0" vertical="bottom" wrapText="1"/>
    </xf>
    <xf borderId="0" fillId="13" fontId="7" numFmtId="173" xfId="0" applyAlignment="1" applyFont="1" applyNumberFormat="1">
      <alignment shrinkToFit="0" vertical="bottom" wrapText="1"/>
    </xf>
    <xf borderId="0" fillId="13" fontId="7" numFmtId="173" xfId="0" applyAlignment="1" applyFont="1" applyNumberFormat="1">
      <alignment vertical="bottom"/>
    </xf>
    <xf borderId="0" fillId="0" fontId="7" numFmtId="16" xfId="0" applyAlignment="1" applyFont="1" applyNumberFormat="1">
      <alignment vertical="bottom"/>
    </xf>
    <xf borderId="0" fillId="13" fontId="7" numFmtId="164" xfId="0" applyAlignment="1" applyFont="1" applyNumberFormat="1">
      <alignment vertical="bottom"/>
    </xf>
    <xf borderId="0" fillId="13" fontId="41" numFmtId="0" xfId="0" applyAlignment="1" applyFont="1">
      <alignment shrinkToFit="0" vertical="bottom" wrapText="1"/>
    </xf>
    <xf borderId="0" fillId="13" fontId="7" numFmtId="174" xfId="0" applyAlignment="1" applyFont="1" applyNumberFormat="1">
      <alignment vertical="bottom"/>
    </xf>
    <xf borderId="0" fillId="0" fontId="7" numFmtId="0" xfId="0" applyAlignment="1" applyFont="1">
      <alignment horizontal="right" shrinkToFit="0" vertical="bottom" wrapText="1"/>
    </xf>
    <xf borderId="0" fillId="0" fontId="42" numFmtId="0" xfId="0" applyAlignment="1" applyFont="1">
      <alignment shrinkToFit="0" vertical="bottom" wrapText="1"/>
    </xf>
    <xf borderId="0" fillId="0" fontId="7" numFmtId="170" xfId="0" applyAlignment="1" applyFont="1" applyNumberFormat="1">
      <alignment shrinkToFit="0" vertical="bottom" wrapText="1"/>
    </xf>
    <xf borderId="0" fillId="0" fontId="7" numFmtId="174" xfId="0" applyAlignment="1" applyFont="1" applyNumberFormat="1">
      <alignment shrinkToFit="0" vertical="bottom" wrapText="1"/>
    </xf>
    <xf borderId="0" fillId="0" fontId="7" numFmtId="16" xfId="0" applyAlignment="1" applyFont="1" applyNumberFormat="1">
      <alignment shrinkToFit="0" vertical="bottom" wrapText="1"/>
    </xf>
    <xf borderId="0" fillId="13" fontId="43" numFmtId="0" xfId="0" applyAlignment="1" applyFont="1">
      <alignment shrinkToFit="0" vertical="bottom" wrapText="1"/>
    </xf>
    <xf borderId="0" fillId="13" fontId="44" numFmtId="0" xfId="0" applyAlignment="1" applyFont="1">
      <alignment shrinkToFit="0" vertical="bottom" wrapText="1"/>
    </xf>
    <xf borderId="0" fillId="0" fontId="7" numFmtId="164" xfId="0" applyAlignment="1" applyFont="1" applyNumberFormat="1">
      <alignment shrinkToFit="0" vertical="bottom" wrapText="1"/>
    </xf>
    <xf borderId="0" fillId="13" fontId="7" numFmtId="170" xfId="0" applyAlignment="1" applyFont="1" applyNumberFormat="1">
      <alignment horizontal="right" shrinkToFit="0" vertical="bottom" wrapText="1"/>
    </xf>
    <xf borderId="0" fillId="13" fontId="7" numFmtId="170" xfId="0" applyAlignment="1" applyFont="1" applyNumberFormat="1">
      <alignment shrinkToFit="0" vertical="bottom" wrapText="1"/>
    </xf>
    <xf borderId="0" fillId="13" fontId="7" numFmtId="164" xfId="0" applyAlignment="1" applyFont="1" applyNumberFormat="1">
      <alignment shrinkToFit="0" vertical="bottom" wrapText="1"/>
    </xf>
    <xf borderId="0" fillId="0" fontId="7" numFmtId="174" xfId="0" applyAlignment="1" applyFont="1" applyNumberFormat="1">
      <alignment vertical="bottom"/>
    </xf>
    <xf borderId="0" fillId="12" fontId="7" numFmtId="168" xfId="0" applyAlignment="1" applyFont="1" applyNumberFormat="1">
      <alignment vertical="bottom"/>
    </xf>
    <xf borderId="0" fillId="12" fontId="7" numFmtId="16" xfId="0" applyAlignment="1" applyFont="1" applyNumberFormat="1">
      <alignment vertical="bottom"/>
    </xf>
    <xf borderId="0" fillId="13" fontId="7" numFmtId="174" xfId="0" applyAlignment="1" applyFont="1" applyNumberFormat="1">
      <alignment shrinkToFit="0" vertical="bottom" wrapText="1"/>
    </xf>
    <xf borderId="0" fillId="12" fontId="7" numFmtId="175" xfId="0" applyAlignment="1" applyFont="1" applyNumberFormat="1">
      <alignment vertical="bottom"/>
    </xf>
    <xf borderId="0" fillId="0" fontId="7" numFmtId="170" xfId="0" applyAlignment="1" applyFont="1" applyNumberFormat="1">
      <alignment horizontal="right" shrinkToFit="0" vertical="bottom" wrapText="1"/>
    </xf>
    <xf borderId="0" fillId="12" fontId="7" numFmtId="174" xfId="0" applyAlignment="1" applyFont="1" applyNumberFormat="1">
      <alignment vertical="bottom"/>
    </xf>
    <xf borderId="0" fillId="0" fontId="7" numFmtId="174" xfId="0" applyAlignment="1" applyFont="1" applyNumberFormat="1">
      <alignment horizontal="right" shrinkToFit="0" vertical="bottom" wrapText="1"/>
    </xf>
    <xf borderId="0" fillId="15" fontId="36" numFmtId="0" xfId="0" applyFont="1"/>
    <xf borderId="0" fillId="0" fontId="7" numFmtId="0" xfId="0" applyAlignment="1" applyFont="1">
      <alignment horizontal="right" shrinkToFit="0" vertical="bottom" wrapText="1"/>
    </xf>
    <xf borderId="0" fillId="0" fontId="7" numFmtId="172" xfId="0" applyAlignment="1" applyFont="1" applyNumberFormat="1">
      <alignment vertical="bottom"/>
    </xf>
    <xf borderId="0" fillId="13" fontId="7" numFmtId="174" xfId="0" applyAlignment="1" applyFont="1" applyNumberFormat="1">
      <alignment horizontal="right" shrinkToFit="0" vertical="bottom" wrapText="1"/>
    </xf>
    <xf borderId="0" fillId="7" fontId="7" numFmtId="168" xfId="0" applyAlignment="1" applyFont="1" applyNumberFormat="1">
      <alignment vertical="bottom"/>
    </xf>
    <xf borderId="0" fillId="12" fontId="17" numFmtId="168" xfId="0" applyAlignment="1" applyFont="1" applyNumberFormat="1">
      <alignment shrinkToFit="0" vertical="bottom" wrapText="1"/>
    </xf>
    <xf borderId="0" fillId="0" fontId="45" numFmtId="168" xfId="0" applyAlignment="1" applyFont="1" applyNumberFormat="1">
      <alignment shrinkToFit="0" vertical="bottom" wrapText="1"/>
    </xf>
    <xf borderId="0" fillId="0" fontId="7" numFmtId="168" xfId="0" applyAlignment="1" applyFont="1" applyNumberFormat="1">
      <alignment vertical="bottom"/>
    </xf>
    <xf borderId="0" fillId="0" fontId="36" numFmtId="0" xfId="0" applyAlignment="1" applyFont="1">
      <alignment horizontal="left"/>
    </xf>
    <xf borderId="3" fillId="0" fontId="36" numFmtId="0" xfId="0" applyBorder="1" applyFont="1"/>
    <xf borderId="4" fillId="0" fontId="36" numFmtId="0" xfId="0" applyBorder="1" applyFont="1"/>
    <xf borderId="4" fillId="8" fontId="46" numFmtId="0" xfId="0" applyAlignment="1" applyBorder="1" applyFont="1">
      <alignment shrinkToFit="0" vertical="bottom" wrapText="1"/>
    </xf>
    <xf borderId="4" fillId="8" fontId="47" numFmtId="0" xfId="0" applyAlignment="1" applyBorder="1" applyFont="1">
      <alignment shrinkToFit="0" vertical="bottom" wrapText="1"/>
    </xf>
    <xf borderId="4" fillId="8" fontId="48" numFmtId="165" xfId="0" applyAlignment="1" applyBorder="1" applyFont="1" applyNumberFormat="1">
      <alignment shrinkToFit="0" vertical="bottom" wrapText="1"/>
    </xf>
    <xf borderId="4" fillId="8" fontId="49" numFmtId="176" xfId="0" applyAlignment="1" applyBorder="1" applyFont="1" applyNumberFormat="1">
      <alignment horizontal="center" shrinkToFit="0" vertical="bottom" wrapText="1"/>
    </xf>
    <xf borderId="4" fillId="8" fontId="7" numFmtId="0" xfId="0" applyAlignment="1" applyBorder="1" applyFont="1">
      <alignment vertical="bottom"/>
    </xf>
    <xf borderId="4" fillId="8" fontId="50" numFmtId="0" xfId="0" applyAlignment="1" applyBorder="1" applyFont="1">
      <alignment shrinkToFit="0" vertical="bottom" wrapText="1"/>
    </xf>
    <xf borderId="4" fillId="8" fontId="51" numFmtId="0" xfId="0" applyAlignment="1" applyBorder="1" applyFont="1">
      <alignment shrinkToFit="0" vertical="bottom" wrapText="1"/>
    </xf>
    <xf borderId="4" fillId="8" fontId="52" numFmtId="0" xfId="0" applyAlignment="1" applyBorder="1" applyFont="1">
      <alignment shrinkToFit="0" vertical="bottom" wrapText="1"/>
    </xf>
    <xf borderId="4" fillId="8" fontId="52" numFmtId="0" xfId="0" applyAlignment="1" applyBorder="1" applyFont="1">
      <alignment horizontal="center" shrinkToFit="0" vertical="bottom" wrapText="1"/>
    </xf>
    <xf borderId="4" fillId="8" fontId="52" numFmtId="177" xfId="0" applyAlignment="1" applyBorder="1" applyFont="1" applyNumberFormat="1">
      <alignment horizontal="center" shrinkToFit="0" vertical="bottom" wrapText="1"/>
    </xf>
    <xf borderId="4" fillId="8" fontId="53" numFmtId="178" xfId="0" applyAlignment="1" applyBorder="1" applyFont="1" applyNumberFormat="1">
      <alignment horizontal="center" shrinkToFit="0" vertical="bottom" wrapText="1"/>
    </xf>
    <xf borderId="4" fillId="8" fontId="52" numFmtId="0" xfId="0" applyAlignment="1" applyBorder="1" applyFont="1">
      <alignment shrinkToFit="0" vertical="bottom" wrapText="1"/>
    </xf>
    <xf borderId="4" fillId="8" fontId="54" numFmtId="0" xfId="0" applyAlignment="1" applyBorder="1" applyFont="1">
      <alignment horizontal="center" shrinkToFit="0" vertical="bottom" wrapText="1"/>
    </xf>
    <xf borderId="4" fillId="8" fontId="51" numFmtId="0" xfId="0" applyAlignment="1" applyBorder="1" applyFont="1">
      <alignment shrinkToFit="0" vertical="bottom" wrapText="1"/>
    </xf>
    <xf borderId="4" fillId="8" fontId="52" numFmtId="0" xfId="0" applyAlignment="1" applyBorder="1" applyFont="1">
      <alignment horizontal="center" shrinkToFit="0" vertical="bottom" wrapText="1"/>
    </xf>
    <xf borderId="4" fillId="8" fontId="55" numFmtId="0" xfId="0" applyAlignment="1" applyBorder="1" applyFont="1">
      <alignment vertical="bottom"/>
    </xf>
    <xf borderId="4" fillId="8" fontId="56" numFmtId="0" xfId="0" applyAlignment="1" applyBorder="1" applyFont="1">
      <alignment shrinkToFit="0" vertical="bottom" wrapText="1"/>
    </xf>
    <xf borderId="4" fillId="8" fontId="57" numFmtId="178" xfId="0" applyAlignment="1" applyBorder="1" applyFont="1" applyNumberFormat="1">
      <alignment horizontal="center" shrinkToFit="0" vertical="bottom" wrapText="1"/>
    </xf>
    <xf borderId="4" fillId="8" fontId="53" numFmtId="0" xfId="0" applyAlignment="1" applyBorder="1" applyFont="1">
      <alignment horizontal="center" shrinkToFit="0" vertical="bottom" wrapText="1"/>
    </xf>
    <xf borderId="0" fillId="0" fontId="7" numFmtId="177" xfId="0" applyAlignment="1" applyFont="1" applyNumberFormat="1">
      <alignment vertical="bottom"/>
    </xf>
    <xf borderId="0" fillId="0" fontId="7" numFmtId="178" xfId="0" applyAlignment="1" applyFont="1" applyNumberFormat="1">
      <alignment vertical="bottom"/>
    </xf>
    <xf borderId="0" fillId="0" fontId="7" numFmtId="14" xfId="0" applyAlignment="1" applyFont="1" applyNumberFormat="1">
      <alignment vertical="bottom"/>
    </xf>
    <xf borderId="0" fillId="0" fontId="58" numFmtId="0" xfId="0" applyAlignment="1" applyFont="1">
      <alignment vertical="bottom"/>
    </xf>
    <xf borderId="4" fillId="0" fontId="7" numFmtId="0" xfId="0" applyAlignment="1" applyBorder="1" applyFont="1">
      <alignment vertical="bottom"/>
    </xf>
    <xf borderId="4" fillId="8" fontId="59" numFmtId="0" xfId="0" applyAlignment="1" applyBorder="1" applyFont="1">
      <alignment vertical="bottom"/>
    </xf>
    <xf borderId="4" fillId="8" fontId="7" numFmtId="0" xfId="0" applyAlignment="1" applyBorder="1" applyFont="1">
      <alignment horizontal="center" vertical="bottom"/>
    </xf>
    <xf borderId="0" fillId="0" fontId="17" numFmtId="3" xfId="0" applyAlignment="1" applyFont="1" applyNumberFormat="1">
      <alignment horizontal="center" vertical="bottom"/>
    </xf>
    <xf borderId="4" fillId="0" fontId="60" numFmtId="0" xfId="0" applyAlignment="1" applyBorder="1" applyFont="1">
      <alignment horizontal="center" vertical="bottom"/>
    </xf>
    <xf borderId="4" fillId="0" fontId="7" numFmtId="167" xfId="0" applyAlignment="1" applyBorder="1" applyFont="1" applyNumberFormat="1">
      <alignment horizontal="center" vertical="bottom"/>
    </xf>
    <xf borderId="4" fillId="0" fontId="6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bottom"/>
    </xf>
    <xf borderId="4" fillId="8" fontId="7" numFmtId="0" xfId="0" applyAlignment="1" applyBorder="1" applyFont="1">
      <alignment vertical="bottom"/>
    </xf>
    <xf borderId="4" fillId="8" fontId="62" numFmtId="0" xfId="0" applyAlignment="1" applyBorder="1" applyFont="1">
      <alignment horizontal="center" vertical="bottom"/>
    </xf>
    <xf borderId="4" fillId="0" fontId="7" numFmtId="164" xfId="0" applyAlignment="1" applyBorder="1" applyFont="1" applyNumberFormat="1">
      <alignment horizontal="center" vertical="bottom"/>
    </xf>
    <xf borderId="4" fillId="3" fontId="7" numFmtId="167" xfId="0" applyAlignment="1" applyBorder="1" applyFont="1" applyNumberFormat="1">
      <alignment horizontal="center" vertical="bottom"/>
    </xf>
    <xf borderId="4" fillId="8" fontId="63" numFmtId="164" xfId="0" applyAlignment="1" applyBorder="1" applyFont="1" applyNumberFormat="1">
      <alignment horizontal="center" vertical="bottom"/>
    </xf>
    <xf borderId="4" fillId="8" fontId="64" numFmtId="0" xfId="0" applyAlignment="1" applyBorder="1" applyFont="1">
      <alignment horizontal="center" vertical="bottom"/>
    </xf>
    <xf borderId="4" fillId="0" fontId="7" numFmtId="3" xfId="0" applyAlignment="1" applyBorder="1" applyFont="1" applyNumberFormat="1">
      <alignment horizontal="center" vertical="bottom"/>
    </xf>
    <xf borderId="4" fillId="8" fontId="60" numFmtId="164" xfId="0" applyAlignment="1" applyBorder="1" applyFont="1" applyNumberFormat="1">
      <alignment horizontal="center" vertical="bottom"/>
    </xf>
    <xf borderId="4" fillId="8" fontId="60" numFmtId="0" xfId="0" applyAlignment="1" applyBorder="1" applyFont="1">
      <alignment horizontal="center" vertical="bottom"/>
    </xf>
    <xf borderId="4" fillId="8" fontId="64" numFmtId="164" xfId="0" applyAlignment="1" applyBorder="1" applyFont="1" applyNumberFormat="1">
      <alignment horizontal="center" vertical="bottom"/>
    </xf>
    <xf borderId="4" fillId="8" fontId="65" numFmtId="0" xfId="0" applyAlignment="1" applyBorder="1" applyFont="1">
      <alignment vertical="bottom"/>
    </xf>
    <xf borderId="0" fillId="3" fontId="60" numFmtId="3" xfId="0" applyAlignment="1" applyFont="1" applyNumberFormat="1">
      <alignment horizontal="center" vertical="bottom"/>
    </xf>
    <xf borderId="4" fillId="4" fontId="7" numFmtId="167" xfId="0" applyAlignment="1" applyBorder="1" applyFont="1" applyNumberFormat="1">
      <alignment horizontal="center" vertical="bottom"/>
    </xf>
    <xf borderId="4" fillId="0" fontId="64" numFmtId="3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3" fontId="66" numFmtId="0" xfId="0" applyAlignment="1" applyBorder="1" applyFont="1">
      <alignment horizontal="center" vertical="bottom"/>
    </xf>
    <xf borderId="4" fillId="0" fontId="66" numFmtId="0" xfId="0" applyAlignment="1" applyBorder="1" applyFont="1">
      <alignment horizontal="center" vertical="bottom"/>
    </xf>
    <xf borderId="4" fillId="0" fontId="2" numFmtId="14" xfId="0" applyAlignment="1" applyBorder="1" applyFont="1" applyNumberFormat="1">
      <alignment vertical="bottom"/>
    </xf>
    <xf borderId="4" fillId="0" fontId="7" numFmtId="179" xfId="0" applyAlignment="1" applyBorder="1" applyFont="1" applyNumberFormat="1">
      <alignment horizontal="center" vertical="bottom"/>
    </xf>
    <xf borderId="4" fillId="0" fontId="67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horizontal="right" vertical="bottom"/>
    </xf>
    <xf borderId="4" fillId="8" fontId="2" numFmtId="0" xfId="0" applyAlignment="1" applyBorder="1" applyFont="1">
      <alignment vertical="bottom"/>
    </xf>
    <xf borderId="0" fillId="0" fontId="7" numFmtId="165" xfId="0" applyAlignment="1" applyFont="1" applyNumberFormat="1">
      <alignment horizontal="center" vertical="bottom"/>
    </xf>
    <xf borderId="0" fillId="3" fontId="17" numFmtId="0" xfId="0" applyAlignment="1" applyFont="1">
      <alignment horizontal="center" vertical="bottom"/>
    </xf>
    <xf borderId="0" fillId="2" fontId="68" numFmtId="0" xfId="0" applyAlignment="1" applyFont="1">
      <alignment vertical="bottom"/>
    </xf>
    <xf borderId="0" fillId="0" fontId="68" numFmtId="0" xfId="0" applyAlignment="1" applyFont="1">
      <alignment vertical="bottom"/>
    </xf>
    <xf borderId="0" fillId="7" fontId="69" numFmtId="0" xfId="0" applyAlignment="1" applyFont="1">
      <alignment horizontal="center" vertical="bottom"/>
    </xf>
    <xf borderId="0" fillId="7" fontId="70" numFmtId="0" xfId="0" applyAlignment="1" applyFont="1">
      <alignment vertical="bottom"/>
    </xf>
    <xf borderId="0" fillId="7" fontId="69" numFmtId="0" xfId="0" applyAlignment="1" applyFont="1">
      <alignment vertical="bottom"/>
    </xf>
    <xf borderId="0" fillId="0" fontId="71" numFmtId="0" xfId="0" applyFont="1"/>
    <xf borderId="0" fillId="0" fontId="71" numFmtId="0" xfId="0" applyAlignment="1" applyFont="1">
      <alignment horizontal="center"/>
    </xf>
    <xf borderId="0" fillId="8" fontId="72" numFmtId="0" xfId="0" applyAlignment="1" applyFont="1">
      <alignment horizontal="left" readingOrder="0"/>
    </xf>
    <xf borderId="0" fillId="0" fontId="71" numFmtId="0" xfId="0" applyAlignment="1" applyFont="1">
      <alignment horizontal="center" readingOrder="0"/>
    </xf>
    <xf borderId="0" fillId="0" fontId="71" numFmtId="164" xfId="0" applyAlignment="1" applyFont="1" applyNumberFormat="1">
      <alignment horizontal="center" readingOrder="0"/>
    </xf>
    <xf borderId="0" fillId="0" fontId="7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4">
    <tableStyle count="3" pivot="0" name="GPG-style">
      <tableStyleElement dxfId="1" type="headerRow"/>
      <tableStyleElement dxfId="2" type="firstRowStripe"/>
      <tableStyleElement dxfId="1" type="secondRowStripe"/>
    </tableStyle>
    <tableStyle count="3" pivot="0" name="GPG-style 2">
      <tableStyleElement dxfId="3" type="headerRow"/>
      <tableStyleElement dxfId="2" type="firstRowStripe"/>
      <tableStyleElement dxfId="1" type="secondRowStripe"/>
    </tableStyle>
    <tableStyle count="3" pivot="0" name="GPG-style 3">
      <tableStyleElement dxfId="1" type="headerRow"/>
      <tableStyleElement dxfId="2" type="firstRowStripe"/>
      <tableStyleElement dxfId="1" type="secondRowStripe"/>
    </tableStyle>
    <tableStyle count="3" pivot="0" name="Punnett-style">
      <tableStyleElement dxfId="4" type="headerRow"/>
      <tableStyleElement dxfId="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T2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GP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O9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GP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D16:P33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GP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Z26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unnet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y.matterport.com/show/?m=XDuxMKU2oNB" TargetMode="External"/><Relationship Id="rId2" Type="http://schemas.openxmlformats.org/officeDocument/2006/relationships/hyperlink" Target="https://my.matterport.com/show/?m=8yAQYB2TdYV" TargetMode="External"/><Relationship Id="rId3" Type="http://schemas.openxmlformats.org/officeDocument/2006/relationships/hyperlink" Target="https://my.matterport.com/show/?m=kf6QHCjpSTE" TargetMode="External"/><Relationship Id="rId4" Type="http://schemas.openxmlformats.org/officeDocument/2006/relationships/hyperlink" Target="https://my.matterport.com/show/?m=tkBNSVUZDGM" TargetMode="External"/><Relationship Id="rId5" Type="http://schemas.openxmlformats.org/officeDocument/2006/relationships/hyperlink" Target="https://my.matterport.com/show/?m=awF6dwknXRF" TargetMode="External"/><Relationship Id="rId6" Type="http://schemas.openxmlformats.org/officeDocument/2006/relationships/hyperlink" Target="https://my.matterport.com/show/?m=kf6QHCjpSTE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y.matterport.com/show/?m=rhvjTbkFXMR" TargetMode="External"/><Relationship Id="rId2" Type="http://schemas.openxmlformats.org/officeDocument/2006/relationships/hyperlink" Target="https://streeteasy.com/building/249-east-53-street-new_york/3c?utm_campaign=rental_listing&amp;utm_medium=share&amp;utm_source=web&amp;lstt=i4KMNak1xHvkB6lk7T0XLpcmn7AvaeYiqjF7-s0QaA40qG8D3GqX9pwJue0a1A3UOmzFzVT5090jbkvu" TargetMode="External"/><Relationship Id="rId3" Type="http://schemas.openxmlformats.org/officeDocument/2006/relationships/hyperlink" Target="https://my.matterport.com/show/?m=dXPHn9dXXLt" TargetMode="External"/><Relationship Id="rId4" Type="http://schemas.openxmlformats.org/officeDocument/2006/relationships/hyperlink" Target="https://my.matterport.com/show/?m=R1g3Fa3LpM4" TargetMode="External"/><Relationship Id="rId5" Type="http://schemas.openxmlformats.org/officeDocument/2006/relationships/hyperlink" Target="https://streeteasy.com/rental/5095005?utm_campaign=rental_listing&amp;utm_medium=share&amp;utm_source=web&amp;lstt=rATGinFEMQtLdOpvX97Czw0CuMhc4g8ZDUxB_MuJDXBQV-6izOYAWXm9QU7Exf-8MzW_dxptpoTJekM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y.matterport.com/show/?m=eRvr3M6pfpB" TargetMode="External"/><Relationship Id="rId20" Type="http://schemas.openxmlformats.org/officeDocument/2006/relationships/hyperlink" Target="https://my.matterport.com/show/?m=uHAfsMJwVMt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s://my.matterport.com/show/?m=ijX4P8JtVJX" TargetMode="External"/><Relationship Id="rId21" Type="http://schemas.openxmlformats.org/officeDocument/2006/relationships/hyperlink" Target="https://my.matterport.com/show/?m=ijX4P8JtVJX" TargetMode="External"/><Relationship Id="rId24" Type="http://schemas.openxmlformats.org/officeDocument/2006/relationships/hyperlink" Target="https://my.matterport.com/show/?m=pf48YTBGVuU" TargetMode="External"/><Relationship Id="rId46" Type="http://schemas.openxmlformats.org/officeDocument/2006/relationships/table" Target="../tables/table2.xml"/><Relationship Id="rId23" Type="http://schemas.openxmlformats.org/officeDocument/2006/relationships/hyperlink" Target="https://my.matterport.com/show/?m=pf48YTBGVuU" TargetMode="External"/><Relationship Id="rId45" Type="http://schemas.openxmlformats.org/officeDocument/2006/relationships/table" Target="../tables/table1.xml"/><Relationship Id="rId1" Type="http://schemas.openxmlformats.org/officeDocument/2006/relationships/hyperlink" Target="https://my.matterport.com/show/?m=Wtc43w1cjZ4" TargetMode="External"/><Relationship Id="rId2" Type="http://schemas.openxmlformats.org/officeDocument/2006/relationships/hyperlink" Target="https://my.matterport.com/show/?m=kqELkfbW8tD" TargetMode="External"/><Relationship Id="rId3" Type="http://schemas.openxmlformats.org/officeDocument/2006/relationships/hyperlink" Target="https://my.matterport.com/show/?m=jX4pimXAgYz" TargetMode="External"/><Relationship Id="rId4" Type="http://schemas.openxmlformats.org/officeDocument/2006/relationships/hyperlink" Target="https://my.matterport.com/show/?m=VtqhJu4wRMg" TargetMode="External"/><Relationship Id="rId9" Type="http://schemas.openxmlformats.org/officeDocument/2006/relationships/hyperlink" Target="https://my.matterport.com/show/?m=6JoNJfffayL" TargetMode="External"/><Relationship Id="rId26" Type="http://schemas.openxmlformats.org/officeDocument/2006/relationships/hyperlink" Target="https://my.matterport.com/show/?m=3j2mAp1WSbM" TargetMode="External"/><Relationship Id="rId25" Type="http://schemas.openxmlformats.org/officeDocument/2006/relationships/hyperlink" Target="https://my.matterport.com/show/?m=3j2mAp1WSbM" TargetMode="External"/><Relationship Id="rId47" Type="http://schemas.openxmlformats.org/officeDocument/2006/relationships/table" Target="../tables/table3.xml"/><Relationship Id="rId28" Type="http://schemas.openxmlformats.org/officeDocument/2006/relationships/hyperlink" Target="https://my.matterport.com/show/?m=FwFhnWSJntF" TargetMode="External"/><Relationship Id="rId27" Type="http://schemas.openxmlformats.org/officeDocument/2006/relationships/hyperlink" Target="https://my.matterport.com/show/?m=FwFhnWSJntF" TargetMode="External"/><Relationship Id="rId5" Type="http://schemas.openxmlformats.org/officeDocument/2006/relationships/hyperlink" Target="https://my.matterport.com/show/?m=y6jEy3YNe9n" TargetMode="External"/><Relationship Id="rId6" Type="http://schemas.openxmlformats.org/officeDocument/2006/relationships/hyperlink" Target="https://my.matterport.com/show/?m=z6jPuY1m86D" TargetMode="External"/><Relationship Id="rId29" Type="http://schemas.openxmlformats.org/officeDocument/2006/relationships/hyperlink" Target="https://my.matterport.com/show/?m=BbsQzGTTMHi" TargetMode="External"/><Relationship Id="rId7" Type="http://schemas.openxmlformats.org/officeDocument/2006/relationships/hyperlink" Target="https://my.matterport.com/show/?m=A2TaWv4AdJ4" TargetMode="External"/><Relationship Id="rId8" Type="http://schemas.openxmlformats.org/officeDocument/2006/relationships/hyperlink" Target="https://my.matterport.com/show/?m=A2TaWv4AdJ4" TargetMode="External"/><Relationship Id="rId31" Type="http://schemas.openxmlformats.org/officeDocument/2006/relationships/hyperlink" Target="https://my.matterport.com/show/?m=MbFy1KeRWfy" TargetMode="External"/><Relationship Id="rId30" Type="http://schemas.openxmlformats.org/officeDocument/2006/relationships/hyperlink" Target="https://my.matterport.com/show/?m=BbsQzGTTMHi" TargetMode="External"/><Relationship Id="rId11" Type="http://schemas.openxmlformats.org/officeDocument/2006/relationships/hyperlink" Target="https://my.matterport.com/show/?m=bC8h1EyeASU" TargetMode="External"/><Relationship Id="rId33" Type="http://schemas.openxmlformats.org/officeDocument/2006/relationships/hyperlink" Target="https://my.matterport.com/show/?m=oBFZ3bstLLd" TargetMode="External"/><Relationship Id="rId10" Type="http://schemas.openxmlformats.org/officeDocument/2006/relationships/hyperlink" Target="https://my.matterport.com/show/?m=6JoNJfffayL" TargetMode="External"/><Relationship Id="rId32" Type="http://schemas.openxmlformats.org/officeDocument/2006/relationships/hyperlink" Target="https://my.matterport.com/show/?m=MbFy1KeRWfy" TargetMode="External"/><Relationship Id="rId13" Type="http://schemas.openxmlformats.org/officeDocument/2006/relationships/hyperlink" Target="https://my.matterport.com/show/?m=PZju3pJWtSL" TargetMode="External"/><Relationship Id="rId35" Type="http://schemas.openxmlformats.org/officeDocument/2006/relationships/hyperlink" Target="https://my.matterport.com/show/?m=s7jMs9zJjsD" TargetMode="External"/><Relationship Id="rId12" Type="http://schemas.openxmlformats.org/officeDocument/2006/relationships/hyperlink" Target="https://my.matterport.com/show/?m=bC8h1EyeASU" TargetMode="External"/><Relationship Id="rId34" Type="http://schemas.openxmlformats.org/officeDocument/2006/relationships/hyperlink" Target="https://my.matterport.com/show/?m=oBFZ3bstLLd" TargetMode="External"/><Relationship Id="rId15" Type="http://schemas.openxmlformats.org/officeDocument/2006/relationships/hyperlink" Target="https://youtube.com/shorts/MNyhDZJ8Kzw" TargetMode="External"/><Relationship Id="rId37" Type="http://schemas.openxmlformats.org/officeDocument/2006/relationships/hyperlink" Target="https://my.matterport.com/show/?m=qt21DMjY9Ap" TargetMode="External"/><Relationship Id="rId14" Type="http://schemas.openxmlformats.org/officeDocument/2006/relationships/hyperlink" Target="https://my.matterport.com/show/?m=PZju3pJWtSL" TargetMode="External"/><Relationship Id="rId36" Type="http://schemas.openxmlformats.org/officeDocument/2006/relationships/hyperlink" Target="https://my.matterport.com/show/?m=s7jMs9zJjsD" TargetMode="External"/><Relationship Id="rId17" Type="http://schemas.openxmlformats.org/officeDocument/2006/relationships/hyperlink" Target="https://my.matterport.com/show/?m=kuTwANcJEYu" TargetMode="External"/><Relationship Id="rId39" Type="http://schemas.openxmlformats.org/officeDocument/2006/relationships/hyperlink" Target="https://my.matterport.com/show/?m=eRvr3M6pfpB" TargetMode="External"/><Relationship Id="rId16" Type="http://schemas.openxmlformats.org/officeDocument/2006/relationships/hyperlink" Target="https://youtube.com/shorts/MNyhDZJ8Kzw" TargetMode="External"/><Relationship Id="rId38" Type="http://schemas.openxmlformats.org/officeDocument/2006/relationships/hyperlink" Target="https://my.matterport.com/show/?m=qt21DMjY9Ap" TargetMode="External"/><Relationship Id="rId19" Type="http://schemas.openxmlformats.org/officeDocument/2006/relationships/hyperlink" Target="https://my.matterport.com/show/?m=uHAfsMJwVMt" TargetMode="External"/><Relationship Id="rId18" Type="http://schemas.openxmlformats.org/officeDocument/2006/relationships/hyperlink" Target="https://my.matterport.com/show/?m=kuTwANcJEY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y.matterport.com/show/?m=8wL6XnZhfW8" TargetMode="External"/><Relationship Id="rId2" Type="http://schemas.openxmlformats.org/officeDocument/2006/relationships/hyperlink" Target="https://my.matterport.com/show/?m=q22CwAVYWBH" TargetMode="External"/><Relationship Id="rId3" Type="http://schemas.openxmlformats.org/officeDocument/2006/relationships/hyperlink" Target="https://my.matterport.com/show/?m=qzdhY4NEioZ" TargetMode="External"/><Relationship Id="rId4" Type="http://schemas.openxmlformats.org/officeDocument/2006/relationships/hyperlink" Target="https://my.matterport.com/show/?m=2de3f8UwkFF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y.matterport.com/show/?m=EmwxwpL8KUq" TargetMode="External"/><Relationship Id="rId2" Type="http://schemas.openxmlformats.org/officeDocument/2006/relationships/hyperlink" Target="https://my.matterport.com/show/?m=P3dNuwFiJcJ" TargetMode="External"/><Relationship Id="rId3" Type="http://schemas.openxmlformats.org/officeDocument/2006/relationships/hyperlink" Target="https://my.matterport.com/show/?m=U2dBhemdAAr" TargetMode="External"/><Relationship Id="rId4" Type="http://schemas.openxmlformats.org/officeDocument/2006/relationships/hyperlink" Target="https://my.matterport.com/show/?m=pgLDZAw352o" TargetMode="External"/><Relationship Id="rId5" Type="http://schemas.openxmlformats.org/officeDocument/2006/relationships/hyperlink" Target="https://my.matterport.com/show/?m=Fh5nsC35Vmy" TargetMode="External"/><Relationship Id="rId6" Type="http://schemas.openxmlformats.org/officeDocument/2006/relationships/hyperlink" Target="https://my.matterport.com/show/?m=XiRDc1bXgPs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y.matterport.com/show/?m=Fuqkp9FS6Py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y.matterport.com/show/?m=Yn6Y3RsUhhb" TargetMode="External"/><Relationship Id="rId2" Type="http://schemas.openxmlformats.org/officeDocument/2006/relationships/hyperlink" Target="https://my.matterport.com/show/?m=GBVP4ZciM6H" TargetMode="External"/><Relationship Id="rId3" Type="http://schemas.openxmlformats.org/officeDocument/2006/relationships/hyperlink" Target="https://my.matterport.com/show/?m=MTkEkYsQ4Le" TargetMode="External"/><Relationship Id="rId4" Type="http://schemas.openxmlformats.org/officeDocument/2006/relationships/hyperlink" Target="https://my.matterport.com/show/?m=uVL8am8UwXk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my.matterport.com/show/?m=1ZYELkXJUnP" TargetMode="External"/><Relationship Id="rId21" Type="http://schemas.openxmlformats.org/officeDocument/2006/relationships/drawing" Target="../drawings/drawing10.xml"/><Relationship Id="rId1" Type="http://schemas.openxmlformats.org/officeDocument/2006/relationships/hyperlink" Target="https://my.matterport.com/show/?m=boFzS7MCoCp" TargetMode="External"/><Relationship Id="rId2" Type="http://schemas.openxmlformats.org/officeDocument/2006/relationships/hyperlink" Target="https://my.matterport.com/show/?m=2JYUH57Juej" TargetMode="External"/><Relationship Id="rId3" Type="http://schemas.openxmlformats.org/officeDocument/2006/relationships/hyperlink" Target="https://my.matterport.com/show/?m=jR2fWDUgChS" TargetMode="External"/><Relationship Id="rId4" Type="http://schemas.openxmlformats.org/officeDocument/2006/relationships/hyperlink" Target="https://my.matterport.com/show/?m=LRQ5vzyqYm5" TargetMode="External"/><Relationship Id="rId9" Type="http://schemas.openxmlformats.org/officeDocument/2006/relationships/hyperlink" Target="https://my.matterport.com/show/?m=rAmMRyj288j" TargetMode="External"/><Relationship Id="rId5" Type="http://schemas.openxmlformats.org/officeDocument/2006/relationships/hyperlink" Target="https://my.matterport.com/show/?m=f1xSaMUv1Qp" TargetMode="External"/><Relationship Id="rId6" Type="http://schemas.openxmlformats.org/officeDocument/2006/relationships/hyperlink" Target="https://my.matterport.com/show/?m=d17Xm8NEQez" TargetMode="External"/><Relationship Id="rId7" Type="http://schemas.openxmlformats.org/officeDocument/2006/relationships/hyperlink" Target="https://my.matterport.com/show/?m=Re9HmW8eXYr" TargetMode="External"/><Relationship Id="rId8" Type="http://schemas.openxmlformats.org/officeDocument/2006/relationships/hyperlink" Target="https://my.matterport.com/show/?m=fPWjZoSL2Vj" TargetMode="External"/><Relationship Id="rId11" Type="http://schemas.openxmlformats.org/officeDocument/2006/relationships/hyperlink" Target="https://my.matterport.com/show/?m=mFswRJYZ7CU" TargetMode="External"/><Relationship Id="rId10" Type="http://schemas.openxmlformats.org/officeDocument/2006/relationships/hyperlink" Target="https://my.matterport.com/show/?m=NSjPaK3VZ9r" TargetMode="External"/><Relationship Id="rId13" Type="http://schemas.openxmlformats.org/officeDocument/2006/relationships/hyperlink" Target="https://my.matterport.com/show/?m=BGp6hxUifRS" TargetMode="External"/><Relationship Id="rId12" Type="http://schemas.openxmlformats.org/officeDocument/2006/relationships/hyperlink" Target="https://my.matterport.com/show/?m=PJL9iYFdVrL" TargetMode="External"/><Relationship Id="rId15" Type="http://schemas.openxmlformats.org/officeDocument/2006/relationships/hyperlink" Target="https://my.matterport.com/show/?m=9vSt5ucstcN" TargetMode="External"/><Relationship Id="rId14" Type="http://schemas.openxmlformats.org/officeDocument/2006/relationships/hyperlink" Target="https://my.matterport.com/show/?m=fU4m5oYq5ef" TargetMode="External"/><Relationship Id="rId17" Type="http://schemas.openxmlformats.org/officeDocument/2006/relationships/hyperlink" Target="https://my.matterport.com/show/?m=1ZYELkXJUnP" TargetMode="External"/><Relationship Id="rId16" Type="http://schemas.openxmlformats.org/officeDocument/2006/relationships/hyperlink" Target="https://my.matterport.com/show/?m=geF37Cb8zAg" TargetMode="External"/><Relationship Id="rId19" Type="http://schemas.openxmlformats.org/officeDocument/2006/relationships/hyperlink" Target="https://my.matterport.com/show/?m=1ZYELkXJUnP" TargetMode="External"/><Relationship Id="rId18" Type="http://schemas.openxmlformats.org/officeDocument/2006/relationships/hyperlink" Target="https://my.matterport.com/show/?m=P7nkKUpHMKL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4.75"/>
    <col customWidth="1" min="3" max="3" width="6.13"/>
    <col customWidth="1" min="4" max="4" width="9.88"/>
    <col customWidth="1" min="5" max="5" width="7.0"/>
    <col customWidth="1" min="6" max="6" width="30.25"/>
    <col customWidth="1" min="7" max="7" width="26.13"/>
    <col customWidth="1" min="8" max="8" width="11.63"/>
    <col customWidth="1" min="9" max="9" width="13.38"/>
    <col customWidth="1" min="10" max="10" width="12.13"/>
    <col customWidth="1" min="11" max="11" width="38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s">
        <v>11</v>
      </c>
      <c r="B2" s="5" t="s">
        <v>12</v>
      </c>
      <c r="C2" s="6" t="s">
        <v>13</v>
      </c>
      <c r="D2" s="6">
        <v>1.0</v>
      </c>
      <c r="E2" s="6">
        <v>1.0</v>
      </c>
      <c r="F2" s="7" t="s">
        <v>14</v>
      </c>
      <c r="G2" s="6" t="s">
        <v>15</v>
      </c>
      <c r="H2" s="6" t="s">
        <v>16</v>
      </c>
      <c r="I2" s="8" t="s">
        <v>17</v>
      </c>
      <c r="J2" s="6" t="s">
        <v>18</v>
      </c>
      <c r="K2" s="4" t="s">
        <v>19</v>
      </c>
    </row>
    <row r="3">
      <c r="A3" s="4" t="s">
        <v>11</v>
      </c>
      <c r="B3" s="6" t="s">
        <v>12</v>
      </c>
      <c r="C3" s="9" t="s">
        <v>20</v>
      </c>
      <c r="D3" s="4">
        <v>1.0</v>
      </c>
      <c r="E3" s="4">
        <v>1.0</v>
      </c>
      <c r="F3" s="10">
        <v>4100.0</v>
      </c>
      <c r="G3" s="4" t="s">
        <v>21</v>
      </c>
      <c r="H3" s="6" t="s">
        <v>16</v>
      </c>
      <c r="I3" s="11" t="s">
        <v>22</v>
      </c>
      <c r="J3" s="6" t="s">
        <v>18</v>
      </c>
      <c r="K3" s="4" t="s">
        <v>23</v>
      </c>
    </row>
    <row r="4">
      <c r="A4" s="4" t="s">
        <v>11</v>
      </c>
      <c r="B4" s="6" t="s">
        <v>12</v>
      </c>
      <c r="C4" s="9" t="s">
        <v>24</v>
      </c>
      <c r="D4" s="4">
        <v>1.0</v>
      </c>
      <c r="E4" s="4">
        <v>1.0</v>
      </c>
      <c r="F4" s="10">
        <v>4275.0</v>
      </c>
      <c r="G4" s="4" t="s">
        <v>25</v>
      </c>
      <c r="H4" s="6" t="s">
        <v>16</v>
      </c>
      <c r="I4" s="11" t="s">
        <v>22</v>
      </c>
      <c r="J4" s="6" t="s">
        <v>18</v>
      </c>
      <c r="K4" s="9" t="s">
        <v>26</v>
      </c>
    </row>
    <row r="5">
      <c r="A5" s="4" t="s">
        <v>11</v>
      </c>
      <c r="B5" s="5" t="s">
        <v>12</v>
      </c>
      <c r="C5" s="9" t="s">
        <v>27</v>
      </c>
      <c r="D5" s="4">
        <v>2.0</v>
      </c>
      <c r="E5" s="4">
        <v>1.0</v>
      </c>
      <c r="F5" s="10">
        <v>5995.0</v>
      </c>
      <c r="G5" s="4" t="s">
        <v>28</v>
      </c>
      <c r="H5" s="6" t="s">
        <v>16</v>
      </c>
      <c r="I5" s="11" t="s">
        <v>29</v>
      </c>
      <c r="J5" s="6" t="s">
        <v>18</v>
      </c>
      <c r="K5" s="4" t="s">
        <v>30</v>
      </c>
    </row>
    <row r="6">
      <c r="A6" s="4" t="s">
        <v>11</v>
      </c>
      <c r="B6" s="12" t="s">
        <v>12</v>
      </c>
      <c r="C6" s="13" t="s">
        <v>31</v>
      </c>
      <c r="D6" s="12">
        <v>1.0</v>
      </c>
      <c r="E6" s="12" t="s">
        <v>32</v>
      </c>
      <c r="F6" s="7">
        <v>4250.0</v>
      </c>
      <c r="G6" s="6" t="s">
        <v>33</v>
      </c>
      <c r="H6" s="12" t="s">
        <v>16</v>
      </c>
      <c r="I6" s="8" t="s">
        <v>22</v>
      </c>
      <c r="J6" s="12" t="s">
        <v>18</v>
      </c>
      <c r="K6" s="9" t="s">
        <v>26</v>
      </c>
    </row>
    <row r="7">
      <c r="A7" s="4" t="s">
        <v>11</v>
      </c>
      <c r="B7" s="12" t="s">
        <v>12</v>
      </c>
      <c r="C7" s="4" t="s">
        <v>34</v>
      </c>
      <c r="D7" s="14">
        <v>1.0</v>
      </c>
      <c r="E7" s="14">
        <v>1.0</v>
      </c>
      <c r="F7" s="15">
        <v>4150.0</v>
      </c>
      <c r="G7" s="4" t="s">
        <v>35</v>
      </c>
      <c r="H7" s="12" t="s">
        <v>16</v>
      </c>
      <c r="I7" s="16"/>
      <c r="J7" s="12" t="s">
        <v>18</v>
      </c>
      <c r="K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>
      <c r="A9" s="4" t="s">
        <v>36</v>
      </c>
      <c r="B9" s="6" t="s">
        <v>12</v>
      </c>
      <c r="C9" s="9" t="s">
        <v>37</v>
      </c>
      <c r="D9" s="4">
        <v>1.0</v>
      </c>
      <c r="E9" s="4">
        <v>1.0</v>
      </c>
      <c r="F9" s="10">
        <v>4325.0</v>
      </c>
      <c r="G9" s="17" t="s">
        <v>38</v>
      </c>
      <c r="H9" s="6" t="s">
        <v>16</v>
      </c>
      <c r="I9" s="11" t="s">
        <v>22</v>
      </c>
      <c r="J9" s="6" t="s">
        <v>18</v>
      </c>
      <c r="K9" s="4" t="s">
        <v>39</v>
      </c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>
      <c r="A11" s="16"/>
      <c r="B11" s="18" t="s">
        <v>40</v>
      </c>
      <c r="C11" s="16"/>
      <c r="D11" s="16"/>
      <c r="E11" s="16"/>
      <c r="F11" s="16"/>
      <c r="G11" s="16"/>
      <c r="H11" s="16"/>
      <c r="I11" s="16"/>
      <c r="J11" s="16"/>
      <c r="K11" s="16"/>
    </row>
    <row r="12">
      <c r="A12" s="16"/>
      <c r="B12" s="9" t="s">
        <v>41</v>
      </c>
      <c r="C12" s="16"/>
      <c r="D12" s="16"/>
      <c r="E12" s="16"/>
      <c r="F12" s="16"/>
      <c r="G12" s="16"/>
      <c r="H12" s="16"/>
      <c r="I12" s="16"/>
      <c r="J12" s="16"/>
      <c r="K12" s="16"/>
    </row>
    <row r="13">
      <c r="A13" s="16"/>
      <c r="B13" s="19" t="s">
        <v>42</v>
      </c>
      <c r="C13" s="16"/>
      <c r="D13" s="16"/>
      <c r="E13" s="16"/>
      <c r="F13" s="16"/>
      <c r="G13" s="16"/>
      <c r="H13" s="16"/>
      <c r="I13" s="16"/>
      <c r="J13" s="16"/>
      <c r="K13" s="16"/>
    </row>
    <row r="14">
      <c r="A14" s="16"/>
      <c r="B14" s="20" t="s">
        <v>43</v>
      </c>
      <c r="C14" s="16"/>
      <c r="D14" s="16"/>
      <c r="E14" s="16"/>
      <c r="F14" s="16"/>
      <c r="G14" s="16"/>
      <c r="H14" s="16"/>
      <c r="I14" s="16"/>
      <c r="J14" s="16"/>
      <c r="K14" s="16"/>
    </row>
    <row r="15">
      <c r="A15" s="16"/>
      <c r="B15" s="17" t="s">
        <v>44</v>
      </c>
      <c r="C15" s="16"/>
      <c r="D15" s="16"/>
      <c r="E15" s="16"/>
      <c r="F15" s="16"/>
      <c r="G15" s="16"/>
      <c r="H15" s="16"/>
      <c r="I15" s="16"/>
      <c r="J15" s="16"/>
      <c r="K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8">
      <c r="B18" s="21"/>
      <c r="C18" s="22"/>
      <c r="D18" s="22"/>
      <c r="E18" s="22"/>
      <c r="F18" s="22"/>
      <c r="G18" s="23"/>
      <c r="H18" s="24"/>
      <c r="I18" s="22"/>
      <c r="J18" s="21"/>
      <c r="K18" s="22"/>
    </row>
  </sheetData>
  <hyperlinks>
    <hyperlink r:id="rId1" ref="I2"/>
    <hyperlink r:id="rId2" ref="I3"/>
    <hyperlink r:id="rId3" ref="I4"/>
    <hyperlink r:id="rId4" ref="I5"/>
    <hyperlink r:id="rId5" ref="I6"/>
    <hyperlink r:id="rId6" ref="I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42</v>
      </c>
      <c r="B1" s="25" t="s">
        <v>45</v>
      </c>
      <c r="C1" s="25" t="s">
        <v>46</v>
      </c>
      <c r="D1" s="25" t="s">
        <v>47</v>
      </c>
      <c r="E1" s="25" t="s">
        <v>1</v>
      </c>
      <c r="F1" s="25" t="s">
        <v>48</v>
      </c>
      <c r="G1" s="25" t="s">
        <v>49</v>
      </c>
      <c r="H1" s="26" t="s">
        <v>50</v>
      </c>
      <c r="I1" s="25" t="s">
        <v>51</v>
      </c>
      <c r="J1" s="25" t="s">
        <v>52</v>
      </c>
      <c r="K1" s="25" t="s">
        <v>10</v>
      </c>
      <c r="L1" s="25" t="s">
        <v>53</v>
      </c>
      <c r="M1" s="25" t="s">
        <v>54</v>
      </c>
      <c r="N1" s="25" t="s">
        <v>55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7"/>
      <c r="B2" s="27"/>
      <c r="C2" s="27"/>
      <c r="D2" s="28" t="s">
        <v>56</v>
      </c>
      <c r="E2" s="29" t="s">
        <v>57</v>
      </c>
      <c r="F2" s="30" t="s">
        <v>58</v>
      </c>
      <c r="G2" s="30" t="s">
        <v>59</v>
      </c>
      <c r="H2" s="31">
        <v>3300.0</v>
      </c>
      <c r="I2" s="32" t="s">
        <v>17</v>
      </c>
      <c r="J2" s="33" t="s">
        <v>15</v>
      </c>
      <c r="K2" s="27"/>
      <c r="L2" s="27" t="s">
        <v>60</v>
      </c>
      <c r="M2" s="30" t="s">
        <v>61</v>
      </c>
      <c r="N2" s="32" t="s">
        <v>55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7"/>
      <c r="B3" s="27"/>
      <c r="C3" s="27"/>
      <c r="D3" s="30" t="s">
        <v>62</v>
      </c>
      <c r="E3" s="29" t="s">
        <v>63</v>
      </c>
      <c r="F3" s="30">
        <v>11.0</v>
      </c>
      <c r="G3" s="30" t="s">
        <v>59</v>
      </c>
      <c r="H3" s="31">
        <v>5400.0</v>
      </c>
      <c r="I3" s="32" t="s">
        <v>17</v>
      </c>
      <c r="J3" s="33" t="s">
        <v>15</v>
      </c>
      <c r="K3" s="30" t="s">
        <v>64</v>
      </c>
      <c r="L3" s="27" t="s">
        <v>60</v>
      </c>
      <c r="M3" s="30" t="s">
        <v>65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27"/>
      <c r="C4" s="27"/>
      <c r="D4" s="30" t="s">
        <v>66</v>
      </c>
      <c r="E4" s="29" t="s">
        <v>67</v>
      </c>
      <c r="F4" s="30" t="s">
        <v>68</v>
      </c>
      <c r="G4" s="30" t="s">
        <v>69</v>
      </c>
      <c r="H4" s="31">
        <v>7695.0</v>
      </c>
      <c r="I4" s="32" t="s">
        <v>22</v>
      </c>
      <c r="J4" s="34">
        <v>46234.0</v>
      </c>
      <c r="K4" s="30" t="s">
        <v>70</v>
      </c>
      <c r="L4" s="27" t="s">
        <v>60</v>
      </c>
      <c r="M4" s="30" t="s">
        <v>71</v>
      </c>
      <c r="N4" s="32" t="s">
        <v>55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7"/>
      <c r="B5" s="27"/>
      <c r="C5" s="27"/>
      <c r="D5" s="27"/>
      <c r="E5" s="27"/>
      <c r="F5" s="27"/>
      <c r="G5" s="27"/>
      <c r="H5" s="35"/>
      <c r="I5" s="27"/>
      <c r="J5" s="36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7"/>
      <c r="B6" s="27"/>
      <c r="C6" s="27"/>
      <c r="D6" s="27"/>
      <c r="E6" s="27"/>
      <c r="F6" s="27"/>
      <c r="G6" s="27"/>
      <c r="H6" s="35"/>
      <c r="I6" s="27"/>
      <c r="J6" s="36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7" t="s">
        <v>42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7" t="s">
        <v>42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27"/>
      <c r="C9" s="27"/>
      <c r="D9" s="27"/>
      <c r="E9" s="29" t="s">
        <v>72</v>
      </c>
      <c r="F9" s="27"/>
      <c r="G9" s="27"/>
      <c r="H9" s="27"/>
      <c r="I9" s="27"/>
      <c r="J9" s="27"/>
      <c r="K9" s="27"/>
      <c r="L9" s="27"/>
      <c r="M9" s="27"/>
      <c r="N9" s="38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8"/>
      <c r="B10" s="38"/>
      <c r="C10" s="38"/>
      <c r="D10" s="27"/>
      <c r="E10" s="39" t="s">
        <v>41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40" t="s">
        <v>73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41" t="s">
        <v>74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</sheetData>
  <hyperlinks>
    <hyperlink r:id="rId1" ref="I2"/>
    <hyperlink r:id="rId2" ref="N2"/>
    <hyperlink r:id="rId3" ref="I3"/>
    <hyperlink r:id="rId4" ref="I4"/>
    <hyperlink r:id="rId5" ref="N4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75</v>
      </c>
      <c r="B1" s="42" t="s">
        <v>76</v>
      </c>
      <c r="C1" s="43" t="s">
        <v>77</v>
      </c>
      <c r="D1" s="43" t="s">
        <v>78</v>
      </c>
      <c r="E1" s="44" t="s">
        <v>79</v>
      </c>
      <c r="F1" s="44" t="s">
        <v>80</v>
      </c>
      <c r="G1" s="44" t="s">
        <v>81</v>
      </c>
      <c r="H1" s="45" t="s">
        <v>82</v>
      </c>
      <c r="I1" s="46" t="s">
        <v>83</v>
      </c>
      <c r="J1" s="46" t="s">
        <v>84</v>
      </c>
      <c r="K1" s="46" t="s">
        <v>85</v>
      </c>
      <c r="L1" s="46" t="s">
        <v>86</v>
      </c>
      <c r="M1" s="46" t="s">
        <v>87</v>
      </c>
      <c r="N1" s="47" t="s">
        <v>88</v>
      </c>
      <c r="O1" s="46" t="s">
        <v>89</v>
      </c>
      <c r="P1" s="48"/>
      <c r="Q1" s="48"/>
      <c r="R1" s="48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</row>
    <row r="2">
      <c r="A2" s="50" t="s">
        <v>90</v>
      </c>
      <c r="B2" s="51"/>
      <c r="C2" s="51"/>
      <c r="D2" s="52"/>
      <c r="E2" s="53"/>
      <c r="F2" s="54"/>
      <c r="G2" s="54"/>
      <c r="H2" s="54"/>
      <c r="I2" s="55"/>
      <c r="J2" s="54"/>
      <c r="K2" s="55"/>
      <c r="L2" s="54"/>
      <c r="M2" s="54"/>
      <c r="N2" s="56"/>
      <c r="O2" s="54"/>
      <c r="P2" s="57"/>
      <c r="Q2" s="57"/>
      <c r="R2" s="58"/>
      <c r="S2" s="57"/>
      <c r="T2" s="5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</row>
    <row r="3">
      <c r="A3" s="59"/>
      <c r="B3" s="59"/>
      <c r="C3" s="59"/>
      <c r="D3" s="60">
        <v>46204.0</v>
      </c>
      <c r="E3" s="61" t="s">
        <v>17</v>
      </c>
      <c r="F3" s="62" t="s">
        <v>91</v>
      </c>
      <c r="G3" s="63">
        <v>56.0</v>
      </c>
      <c r="H3" s="63" t="s">
        <v>92</v>
      </c>
      <c r="I3" s="64">
        <v>7200.0</v>
      </c>
      <c r="J3" s="63">
        <v>0.0</v>
      </c>
      <c r="K3" s="65">
        <v>7250.0</v>
      </c>
      <c r="L3" s="63" t="s">
        <v>93</v>
      </c>
      <c r="M3" s="59"/>
      <c r="N3" s="62" t="s">
        <v>94</v>
      </c>
      <c r="O3" s="59"/>
      <c r="P3" s="27"/>
      <c r="Q3" s="27"/>
      <c r="R3" s="66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</row>
    <row r="4">
      <c r="A4" s="67"/>
      <c r="B4" s="68"/>
      <c r="C4" s="67"/>
      <c r="D4" s="69">
        <v>46217.0</v>
      </c>
      <c r="E4" s="70" t="s">
        <v>95</v>
      </c>
      <c r="F4" s="62" t="s">
        <v>96</v>
      </c>
      <c r="G4" s="71" t="s">
        <v>97</v>
      </c>
      <c r="H4" s="71" t="s">
        <v>98</v>
      </c>
      <c r="I4" s="72">
        <v>2900.0</v>
      </c>
      <c r="J4" s="71">
        <v>0.0</v>
      </c>
      <c r="K4" s="72">
        <v>2900.0</v>
      </c>
      <c r="L4" s="71" t="s">
        <v>93</v>
      </c>
      <c r="M4" s="67" t="s">
        <v>99</v>
      </c>
      <c r="N4" s="62" t="s">
        <v>100</v>
      </c>
      <c r="O4" s="73">
        <v>2450.0</v>
      </c>
      <c r="P4" s="27"/>
      <c r="Q4" s="27"/>
      <c r="R4" s="6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</row>
    <row r="5">
      <c r="A5" s="74"/>
      <c r="B5" s="74"/>
      <c r="C5" s="74"/>
      <c r="D5" s="75">
        <v>46204.0</v>
      </c>
      <c r="E5" s="76" t="s">
        <v>17</v>
      </c>
      <c r="F5" s="74" t="s">
        <v>101</v>
      </c>
      <c r="G5" s="77" t="s">
        <v>102</v>
      </c>
      <c r="H5" s="77" t="s">
        <v>103</v>
      </c>
      <c r="I5" s="78">
        <v>3200.0</v>
      </c>
      <c r="J5" s="77">
        <v>0.0</v>
      </c>
      <c r="K5" s="78">
        <v>3200.0</v>
      </c>
      <c r="L5" s="77" t="s">
        <v>93</v>
      </c>
      <c r="M5" s="74"/>
      <c r="N5" s="74"/>
      <c r="O5" s="79">
        <v>3100.0</v>
      </c>
      <c r="P5" s="27"/>
      <c r="Q5" s="27"/>
      <c r="R5" s="66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</row>
    <row r="6">
      <c r="A6" s="67"/>
      <c r="B6" s="67"/>
      <c r="C6" s="67"/>
      <c r="D6" s="80">
        <v>46210.0</v>
      </c>
      <c r="E6" s="81" t="s">
        <v>17</v>
      </c>
      <c r="F6" s="67" t="s">
        <v>101</v>
      </c>
      <c r="G6" s="71" t="s">
        <v>104</v>
      </c>
      <c r="H6" s="71" t="s">
        <v>98</v>
      </c>
      <c r="I6" s="72">
        <v>2750.0</v>
      </c>
      <c r="J6" s="71">
        <v>0.0</v>
      </c>
      <c r="K6" s="72">
        <v>2750.0</v>
      </c>
      <c r="L6" s="71" t="s">
        <v>93</v>
      </c>
      <c r="M6" s="67"/>
      <c r="N6" s="67"/>
      <c r="O6" s="73">
        <v>2350.0</v>
      </c>
      <c r="P6" s="27"/>
      <c r="Q6" s="27"/>
      <c r="R6" s="6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</row>
    <row r="7">
      <c r="A7" s="74"/>
      <c r="B7" s="74"/>
      <c r="C7" s="74"/>
      <c r="D7" s="69">
        <v>46212.0</v>
      </c>
      <c r="E7" s="82" t="s">
        <v>17</v>
      </c>
      <c r="F7" s="62" t="s">
        <v>105</v>
      </c>
      <c r="G7" s="77" t="s">
        <v>104</v>
      </c>
      <c r="H7" s="77" t="s">
        <v>98</v>
      </c>
      <c r="I7" s="78">
        <v>3050.0</v>
      </c>
      <c r="J7" s="77">
        <v>0.0</v>
      </c>
      <c r="K7" s="78">
        <v>3050.0</v>
      </c>
      <c r="L7" s="77" t="s">
        <v>93</v>
      </c>
      <c r="M7" s="74"/>
      <c r="N7" s="62" t="s">
        <v>106</v>
      </c>
      <c r="O7" s="79">
        <v>2875.0</v>
      </c>
      <c r="P7" s="27"/>
      <c r="Q7" s="27"/>
      <c r="R7" s="66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>
      <c r="A9" s="83" t="s">
        <v>107</v>
      </c>
      <c r="B9" s="74"/>
      <c r="C9" s="74"/>
      <c r="D9" s="84" t="s">
        <v>108</v>
      </c>
      <c r="E9" s="82" t="s">
        <v>22</v>
      </c>
      <c r="F9" s="74" t="s">
        <v>109</v>
      </c>
      <c r="G9" s="77" t="s">
        <v>110</v>
      </c>
      <c r="H9" s="77" t="s">
        <v>111</v>
      </c>
      <c r="I9" s="78">
        <v>2711.0</v>
      </c>
      <c r="J9" s="74"/>
      <c r="K9" s="74"/>
      <c r="L9" s="77" t="s">
        <v>112</v>
      </c>
      <c r="M9" s="74" t="s">
        <v>113</v>
      </c>
      <c r="N9" s="74"/>
      <c r="O9" s="74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</row>
    <row r="15">
      <c r="D15" s="85" t="s">
        <v>114</v>
      </c>
    </row>
    <row r="16">
      <c r="D16" s="75">
        <v>46208.0</v>
      </c>
      <c r="E16" s="76" t="s">
        <v>17</v>
      </c>
      <c r="F16" s="62" t="s">
        <v>115</v>
      </c>
      <c r="G16" s="77" t="s">
        <v>97</v>
      </c>
      <c r="H16" s="86" t="s">
        <v>116</v>
      </c>
      <c r="I16" s="74"/>
      <c r="J16" s="74" t="s">
        <v>117</v>
      </c>
      <c r="K16" s="77" t="s">
        <v>118</v>
      </c>
      <c r="L16" s="78">
        <v>7000.0</v>
      </c>
      <c r="M16" s="77" t="s">
        <v>93</v>
      </c>
      <c r="N16" s="74"/>
      <c r="O16" s="62" t="s">
        <v>119</v>
      </c>
      <c r="P16" s="78">
        <v>6250.0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</row>
    <row r="17">
      <c r="D17" s="80">
        <v>46188.0</v>
      </c>
      <c r="E17" s="81" t="s">
        <v>17</v>
      </c>
      <c r="F17" s="62" t="s">
        <v>115</v>
      </c>
      <c r="G17" s="71" t="s">
        <v>120</v>
      </c>
      <c r="H17" s="87" t="s">
        <v>116</v>
      </c>
      <c r="I17" s="67"/>
      <c r="J17" s="67" t="s">
        <v>121</v>
      </c>
      <c r="K17" s="71" t="s">
        <v>122</v>
      </c>
      <c r="L17" s="72">
        <v>6000.0</v>
      </c>
      <c r="M17" s="71" t="s">
        <v>93</v>
      </c>
      <c r="N17" s="67"/>
      <c r="O17" s="62" t="s">
        <v>119</v>
      </c>
      <c r="P17" s="72">
        <v>5425.0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</row>
    <row r="18">
      <c r="D18" s="75">
        <v>46198.0</v>
      </c>
      <c r="E18" s="76" t="s">
        <v>17</v>
      </c>
      <c r="F18" s="62" t="s">
        <v>115</v>
      </c>
      <c r="G18" s="77" t="s">
        <v>123</v>
      </c>
      <c r="H18" s="86" t="s">
        <v>116</v>
      </c>
      <c r="I18" s="74"/>
      <c r="J18" s="74" t="s">
        <v>124</v>
      </c>
      <c r="K18" s="77" t="s">
        <v>118</v>
      </c>
      <c r="L18" s="78">
        <v>6000.0</v>
      </c>
      <c r="M18" s="77" t="s">
        <v>93</v>
      </c>
      <c r="N18" s="74"/>
      <c r="O18" s="62" t="s">
        <v>119</v>
      </c>
      <c r="P18" s="78">
        <v>5100.0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</row>
    <row r="19">
      <c r="D19" s="80">
        <v>46202.0</v>
      </c>
      <c r="E19" s="81" t="s">
        <v>22</v>
      </c>
      <c r="F19" s="62" t="s">
        <v>115</v>
      </c>
      <c r="G19" s="71" t="s">
        <v>13</v>
      </c>
      <c r="H19" s="87" t="s">
        <v>103</v>
      </c>
      <c r="I19" s="67"/>
      <c r="J19" s="67" t="s">
        <v>125</v>
      </c>
      <c r="K19" s="71" t="s">
        <v>118</v>
      </c>
      <c r="L19" s="72">
        <v>11500.0</v>
      </c>
      <c r="M19" s="71" t="s">
        <v>93</v>
      </c>
      <c r="N19" s="67"/>
      <c r="O19" s="62" t="s">
        <v>119</v>
      </c>
      <c r="P19" s="72">
        <v>9200.0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</row>
    <row r="20">
      <c r="D20" s="75">
        <v>46202.0</v>
      </c>
      <c r="E20" s="82" t="s">
        <v>126</v>
      </c>
      <c r="F20" s="74" t="s">
        <v>127</v>
      </c>
      <c r="G20" s="77">
        <v>12.0</v>
      </c>
      <c r="H20" s="86" t="s">
        <v>103</v>
      </c>
      <c r="I20" s="74"/>
      <c r="J20" s="74" t="s">
        <v>128</v>
      </c>
      <c r="K20" s="77" t="s">
        <v>118</v>
      </c>
      <c r="L20" s="78">
        <v>4200.0</v>
      </c>
      <c r="M20" s="77" t="s">
        <v>93</v>
      </c>
      <c r="N20" s="74"/>
      <c r="O20" s="74"/>
      <c r="P20" s="78">
        <v>3700.0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</row>
    <row r="21">
      <c r="D21" s="69">
        <v>46217.0</v>
      </c>
      <c r="E21" s="70" t="s">
        <v>17</v>
      </c>
      <c r="F21" s="67" t="s">
        <v>129</v>
      </c>
      <c r="G21" s="71" t="s">
        <v>130</v>
      </c>
      <c r="H21" s="87" t="s">
        <v>103</v>
      </c>
      <c r="I21" s="67"/>
      <c r="J21" s="67" t="s">
        <v>131</v>
      </c>
      <c r="K21" s="80">
        <v>46258.0</v>
      </c>
      <c r="L21" s="72">
        <v>3300.0</v>
      </c>
      <c r="M21" s="71" t="s">
        <v>93</v>
      </c>
      <c r="N21" s="67"/>
      <c r="O21" s="67"/>
      <c r="P21" s="72">
        <v>2950.0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</row>
    <row r="22">
      <c r="D22" s="75">
        <v>46163.0</v>
      </c>
      <c r="E22" s="76" t="s">
        <v>17</v>
      </c>
      <c r="F22" s="74" t="s">
        <v>132</v>
      </c>
      <c r="G22" s="77" t="s">
        <v>133</v>
      </c>
      <c r="H22" s="86" t="s">
        <v>103</v>
      </c>
      <c r="I22" s="74"/>
      <c r="J22" s="74" t="s">
        <v>134</v>
      </c>
      <c r="K22" s="77" t="s">
        <v>118</v>
      </c>
      <c r="L22" s="78">
        <v>3250.0</v>
      </c>
      <c r="M22" s="77" t="s">
        <v>93</v>
      </c>
      <c r="N22" s="74"/>
      <c r="O22" s="74"/>
      <c r="P22" s="78">
        <v>3050.0</v>
      </c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</row>
    <row r="23">
      <c r="D23" s="80">
        <v>46183.0</v>
      </c>
      <c r="E23" s="68"/>
      <c r="F23" s="67" t="s">
        <v>135</v>
      </c>
      <c r="G23" s="71">
        <v>3.0</v>
      </c>
      <c r="H23" s="71" t="s">
        <v>98</v>
      </c>
      <c r="I23" s="67" t="s">
        <v>136</v>
      </c>
      <c r="J23" s="67" t="s">
        <v>137</v>
      </c>
      <c r="K23" s="71" t="s">
        <v>118</v>
      </c>
      <c r="L23" s="72">
        <v>3000.0</v>
      </c>
      <c r="M23" s="71" t="s">
        <v>93</v>
      </c>
      <c r="N23" s="67"/>
      <c r="O23" s="67"/>
      <c r="P23" s="72">
        <v>2700.0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</row>
    <row r="24">
      <c r="D24" s="75">
        <v>46188.0</v>
      </c>
      <c r="E24" s="82" t="s">
        <v>17</v>
      </c>
      <c r="F24" s="62" t="s">
        <v>138</v>
      </c>
      <c r="G24" s="77">
        <v>19.0</v>
      </c>
      <c r="H24" s="86" t="s">
        <v>139</v>
      </c>
      <c r="I24" s="74"/>
      <c r="J24" s="74" t="s">
        <v>140</v>
      </c>
      <c r="K24" s="77" t="s">
        <v>118</v>
      </c>
      <c r="L24" s="64">
        <v>3400.0</v>
      </c>
      <c r="M24" s="77" t="s">
        <v>93</v>
      </c>
      <c r="N24" s="74"/>
      <c r="O24" s="62" t="s">
        <v>141</v>
      </c>
      <c r="P24" s="78">
        <v>3150.0</v>
      </c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</row>
    <row r="25">
      <c r="D25" s="69">
        <v>46217.0</v>
      </c>
      <c r="E25" s="70" t="s">
        <v>17</v>
      </c>
      <c r="F25" s="67" t="s">
        <v>142</v>
      </c>
      <c r="G25" s="71">
        <v>23.0</v>
      </c>
      <c r="H25" s="87" t="s">
        <v>103</v>
      </c>
      <c r="I25" s="67"/>
      <c r="J25" s="67" t="s">
        <v>143</v>
      </c>
      <c r="K25" s="67" t="s">
        <v>122</v>
      </c>
      <c r="L25" s="73">
        <v>3300.0</v>
      </c>
      <c r="M25" s="73">
        <v>3250.0</v>
      </c>
      <c r="N25" s="67"/>
      <c r="O25" s="67" t="s">
        <v>93</v>
      </c>
      <c r="P25" s="88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</row>
    <row r="26">
      <c r="D26" s="69">
        <v>46217.0</v>
      </c>
      <c r="E26" s="82" t="s">
        <v>17</v>
      </c>
      <c r="F26" s="74" t="s">
        <v>144</v>
      </c>
      <c r="G26" s="77" t="s">
        <v>145</v>
      </c>
      <c r="H26" s="86" t="s">
        <v>103</v>
      </c>
      <c r="I26" s="74"/>
      <c r="J26" s="74" t="s">
        <v>146</v>
      </c>
      <c r="K26" s="74" t="s">
        <v>118</v>
      </c>
      <c r="L26" s="79">
        <v>3250.0</v>
      </c>
      <c r="M26" s="79">
        <v>2950.0</v>
      </c>
      <c r="N26" s="74"/>
      <c r="O26" s="74" t="s">
        <v>93</v>
      </c>
      <c r="P26" s="89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</row>
    <row r="27">
      <c r="D27" s="80">
        <v>46183.0</v>
      </c>
      <c r="E27" s="81" t="s">
        <v>17</v>
      </c>
      <c r="F27" s="62" t="s">
        <v>147</v>
      </c>
      <c r="G27" s="71">
        <v>8.0</v>
      </c>
      <c r="H27" s="87" t="s">
        <v>103</v>
      </c>
      <c r="I27" s="67"/>
      <c r="J27" s="67" t="s">
        <v>148</v>
      </c>
      <c r="K27" s="71" t="s">
        <v>118</v>
      </c>
      <c r="L27" s="72">
        <v>3200.0</v>
      </c>
      <c r="M27" s="71" t="s">
        <v>93</v>
      </c>
      <c r="N27" s="67"/>
      <c r="O27" s="62" t="s">
        <v>149</v>
      </c>
      <c r="P27" s="72">
        <v>2850.0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>
      <c r="D28" s="75">
        <v>46189.0</v>
      </c>
      <c r="E28" s="76" t="s">
        <v>17</v>
      </c>
      <c r="F28" s="62" t="s">
        <v>147</v>
      </c>
      <c r="G28" s="77">
        <v>18.0</v>
      </c>
      <c r="H28" s="86" t="s">
        <v>103</v>
      </c>
      <c r="I28" s="74"/>
      <c r="J28" s="74" t="s">
        <v>150</v>
      </c>
      <c r="K28" s="77" t="s">
        <v>118</v>
      </c>
      <c r="L28" s="78">
        <v>3200.0</v>
      </c>
      <c r="M28" s="77" t="s">
        <v>93</v>
      </c>
      <c r="N28" s="74"/>
      <c r="O28" s="62" t="s">
        <v>149</v>
      </c>
      <c r="P28" s="78">
        <v>2850.0</v>
      </c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>
      <c r="D29" s="69">
        <v>46211.0</v>
      </c>
      <c r="E29" s="70" t="s">
        <v>17</v>
      </c>
      <c r="F29" s="62" t="s">
        <v>151</v>
      </c>
      <c r="G29" s="71" t="s">
        <v>97</v>
      </c>
      <c r="H29" s="87" t="s">
        <v>139</v>
      </c>
      <c r="I29" s="67"/>
      <c r="J29" s="67" t="s">
        <v>152</v>
      </c>
      <c r="K29" s="71" t="s">
        <v>118</v>
      </c>
      <c r="L29" s="72">
        <v>2800.0</v>
      </c>
      <c r="M29" s="71" t="s">
        <v>93</v>
      </c>
      <c r="N29" s="67"/>
      <c r="O29" s="67"/>
      <c r="P29" s="72">
        <v>2550.0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>
      <c r="D30" s="69">
        <v>46217.0</v>
      </c>
      <c r="E30" s="82" t="s">
        <v>17</v>
      </c>
      <c r="F30" s="62" t="s">
        <v>153</v>
      </c>
      <c r="G30" s="77" t="s">
        <v>154</v>
      </c>
      <c r="H30" s="86" t="s">
        <v>139</v>
      </c>
      <c r="I30" s="74"/>
      <c r="J30" s="74" t="s">
        <v>155</v>
      </c>
      <c r="K30" s="75">
        <v>46235.0</v>
      </c>
      <c r="L30" s="78">
        <v>2800.0</v>
      </c>
      <c r="M30" s="77" t="s">
        <v>93</v>
      </c>
      <c r="N30" s="74"/>
      <c r="O30" s="62" t="s">
        <v>61</v>
      </c>
      <c r="P30" s="79">
        <v>2650.0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>
      <c r="D31" s="80">
        <v>46189.0</v>
      </c>
      <c r="E31" s="81" t="s">
        <v>17</v>
      </c>
      <c r="F31" s="62" t="s">
        <v>156</v>
      </c>
      <c r="G31" s="71">
        <v>8.0</v>
      </c>
      <c r="H31" s="87" t="s">
        <v>103</v>
      </c>
      <c r="I31" s="67"/>
      <c r="J31" s="67" t="s">
        <v>157</v>
      </c>
      <c r="K31" s="71" t="s">
        <v>118</v>
      </c>
      <c r="L31" s="64">
        <v>3250.0</v>
      </c>
      <c r="M31" s="71" t="s">
        <v>93</v>
      </c>
      <c r="N31" s="67"/>
      <c r="O31" s="62" t="s">
        <v>100</v>
      </c>
      <c r="P31" s="72">
        <v>3100.0</v>
      </c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>
      <c r="D32" s="75">
        <v>46183.0</v>
      </c>
      <c r="E32" s="76" t="s">
        <v>17</v>
      </c>
      <c r="F32" s="74" t="s">
        <v>158</v>
      </c>
      <c r="G32" s="77" t="s">
        <v>159</v>
      </c>
      <c r="H32" s="86" t="s">
        <v>103</v>
      </c>
      <c r="I32" s="74"/>
      <c r="J32" s="74" t="s">
        <v>160</v>
      </c>
      <c r="K32" s="77" t="s">
        <v>118</v>
      </c>
      <c r="L32" s="78">
        <v>3400.0</v>
      </c>
      <c r="M32" s="77" t="s">
        <v>93</v>
      </c>
      <c r="N32" s="74"/>
      <c r="O32" s="74"/>
      <c r="P32" s="78">
        <v>3200.0</v>
      </c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</row>
    <row r="33">
      <c r="D33" s="80">
        <v>46183.0</v>
      </c>
      <c r="E33" s="81" t="s">
        <v>17</v>
      </c>
      <c r="F33" s="62" t="s">
        <v>161</v>
      </c>
      <c r="G33" s="71" t="s">
        <v>162</v>
      </c>
      <c r="H33" s="87" t="s">
        <v>103</v>
      </c>
      <c r="I33" s="67"/>
      <c r="J33" s="67" t="s">
        <v>163</v>
      </c>
      <c r="K33" s="71" t="s">
        <v>118</v>
      </c>
      <c r="L33" s="72">
        <v>3100.0</v>
      </c>
      <c r="M33" s="71" t="s">
        <v>93</v>
      </c>
      <c r="N33" s="67"/>
      <c r="O33" s="62" t="s">
        <v>100</v>
      </c>
      <c r="P33" s="72">
        <v>2750.0</v>
      </c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</row>
  </sheetData>
  <hyperlinks>
    <hyperlink r:id="rId1" ref="E3"/>
    <hyperlink r:id="rId2" ref="E4"/>
    <hyperlink r:id="rId3" ref="E5"/>
    <hyperlink r:id="rId4" ref="E6"/>
    <hyperlink r:id="rId5" ref="E7"/>
    <hyperlink r:id="rId6" ref="E9"/>
    <hyperlink r:id="rId7" ref="E16"/>
    <hyperlink r:id="rId8" ref="H16"/>
    <hyperlink r:id="rId9" ref="E17"/>
    <hyperlink r:id="rId10" ref="H17"/>
    <hyperlink r:id="rId11" ref="E18"/>
    <hyperlink r:id="rId12" ref="H18"/>
    <hyperlink r:id="rId13" ref="E19"/>
    <hyperlink r:id="rId14" ref="H19"/>
    <hyperlink r:id="rId15" ref="E20"/>
    <hyperlink r:id="rId16" ref="H20"/>
    <hyperlink r:id="rId17" ref="E21"/>
    <hyperlink r:id="rId18" ref="H21"/>
    <hyperlink r:id="rId19" ref="E22"/>
    <hyperlink r:id="rId20" ref="H22"/>
    <hyperlink r:id="rId21" ref="E24"/>
    <hyperlink r:id="rId22" ref="H24"/>
    <hyperlink r:id="rId23" ref="E25"/>
    <hyperlink r:id="rId24" ref="H25"/>
    <hyperlink r:id="rId25" ref="E26"/>
    <hyperlink r:id="rId26" ref="H26"/>
    <hyperlink r:id="rId27" ref="E27"/>
    <hyperlink r:id="rId28" ref="H27"/>
    <hyperlink r:id="rId29" ref="E28"/>
    <hyperlink r:id="rId30" ref="H28"/>
    <hyperlink r:id="rId31" ref="E29"/>
    <hyperlink r:id="rId32" ref="H29"/>
    <hyperlink r:id="rId33" ref="E30"/>
    <hyperlink r:id="rId34" ref="H30"/>
    <hyperlink r:id="rId35" ref="E31"/>
    <hyperlink r:id="rId36" ref="H31"/>
    <hyperlink r:id="rId37" ref="E32"/>
    <hyperlink r:id="rId38" ref="H32"/>
    <hyperlink r:id="rId39" ref="E33"/>
    <hyperlink r:id="rId40" ref="H33"/>
  </hyperlinks>
  <drawing r:id="rId41"/>
  <tableParts count="3">
    <tablePart r:id="rId45"/>
    <tablePart r:id="rId46"/>
    <tablePart r:id="rId4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75</v>
      </c>
      <c r="B1" s="42" t="s">
        <v>164</v>
      </c>
      <c r="C1" s="42" t="s">
        <v>77</v>
      </c>
      <c r="D1" s="42" t="s">
        <v>78</v>
      </c>
      <c r="E1" s="42" t="s">
        <v>80</v>
      </c>
      <c r="F1" s="42" t="s">
        <v>81</v>
      </c>
      <c r="G1" s="42" t="s">
        <v>82</v>
      </c>
      <c r="H1" s="42" t="s">
        <v>83</v>
      </c>
      <c r="I1" s="42" t="s">
        <v>165</v>
      </c>
      <c r="J1" s="90" t="s">
        <v>166</v>
      </c>
      <c r="K1" s="42" t="s">
        <v>167</v>
      </c>
      <c r="L1" s="42" t="s">
        <v>168</v>
      </c>
      <c r="M1" s="42" t="s">
        <v>169</v>
      </c>
      <c r="N1" s="42" t="s">
        <v>170</v>
      </c>
      <c r="O1" s="91" t="s">
        <v>89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>
      <c r="A2" s="92" t="s">
        <v>171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>
      <c r="A3" s="93" t="s">
        <v>172</v>
      </c>
      <c r="B3" s="27"/>
      <c r="C3" s="27"/>
      <c r="D3" s="93" t="s">
        <v>173</v>
      </c>
      <c r="E3" s="94" t="s">
        <v>174</v>
      </c>
      <c r="F3" s="12" t="s">
        <v>104</v>
      </c>
      <c r="G3" s="93" t="s">
        <v>175</v>
      </c>
      <c r="H3" s="95">
        <v>4295.0</v>
      </c>
      <c r="I3" s="12" t="s">
        <v>176</v>
      </c>
      <c r="J3" s="96" t="s">
        <v>177</v>
      </c>
      <c r="K3" s="27"/>
      <c r="L3" s="12" t="s">
        <v>15</v>
      </c>
      <c r="M3" s="97" t="s">
        <v>22</v>
      </c>
      <c r="N3" s="12" t="s">
        <v>178</v>
      </c>
      <c r="O3" s="95">
        <v>3131.0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>
      <c r="A4" s="93" t="s">
        <v>172</v>
      </c>
      <c r="B4" s="27"/>
      <c r="C4" s="27"/>
      <c r="D4" s="93" t="s">
        <v>179</v>
      </c>
      <c r="E4" s="93" t="s">
        <v>180</v>
      </c>
      <c r="F4" s="12">
        <v>1.0</v>
      </c>
      <c r="G4" s="93" t="s">
        <v>181</v>
      </c>
      <c r="H4" s="95">
        <v>4500.0</v>
      </c>
      <c r="I4" s="27"/>
      <c r="J4" s="98" t="s">
        <v>182</v>
      </c>
      <c r="K4" s="27"/>
      <c r="L4" s="12" t="s">
        <v>15</v>
      </c>
      <c r="M4" s="97" t="s">
        <v>22</v>
      </c>
      <c r="N4" s="27"/>
      <c r="O4" s="95">
        <v>3800.0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</row>
    <row r="5">
      <c r="A5" s="93" t="s">
        <v>172</v>
      </c>
      <c r="B5" s="27"/>
      <c r="C5" s="27"/>
      <c r="D5" s="93" t="s">
        <v>183</v>
      </c>
      <c r="E5" s="93" t="s">
        <v>184</v>
      </c>
      <c r="F5" s="12" t="s">
        <v>110</v>
      </c>
      <c r="G5" s="93" t="s">
        <v>185</v>
      </c>
      <c r="H5" s="95">
        <v>3650.0</v>
      </c>
      <c r="I5" s="12" t="s">
        <v>186</v>
      </c>
      <c r="J5" s="98" t="s">
        <v>187</v>
      </c>
      <c r="K5" s="27"/>
      <c r="L5" s="12" t="s">
        <v>15</v>
      </c>
      <c r="M5" s="97" t="s">
        <v>22</v>
      </c>
      <c r="N5" s="12" t="s">
        <v>178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>
      <c r="A6" s="93" t="s">
        <v>172</v>
      </c>
      <c r="B6" s="27"/>
      <c r="C6" s="27"/>
      <c r="D6" s="93" t="s">
        <v>188</v>
      </c>
      <c r="E6" s="93" t="s">
        <v>189</v>
      </c>
      <c r="F6" s="12">
        <v>2.0</v>
      </c>
      <c r="G6" s="93" t="s">
        <v>190</v>
      </c>
      <c r="H6" s="95">
        <v>3025.0</v>
      </c>
      <c r="I6" s="12" t="s">
        <v>191</v>
      </c>
      <c r="J6" s="98" t="s">
        <v>192</v>
      </c>
      <c r="K6" s="99">
        <v>2795.0</v>
      </c>
      <c r="L6" s="12" t="s">
        <v>15</v>
      </c>
      <c r="M6" s="97" t="s">
        <v>22</v>
      </c>
      <c r="N6" s="12" t="s">
        <v>193</v>
      </c>
      <c r="O6" s="95">
        <v>2575.0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</row>
  </sheetData>
  <hyperlinks>
    <hyperlink r:id="rId1" ref="M3"/>
    <hyperlink r:id="rId2" ref="M4"/>
    <hyperlink r:id="rId3" ref="M5"/>
    <hyperlink r:id="rId4" ref="M6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" t="s">
        <v>194</v>
      </c>
      <c r="B1" s="101"/>
      <c r="C1" s="101"/>
      <c r="D1" s="101"/>
      <c r="E1" s="102"/>
      <c r="F1" s="102"/>
      <c r="G1" s="102"/>
      <c r="H1" s="102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103" t="s">
        <v>195</v>
      </c>
      <c r="B2" s="104" t="str">
        <f>HYPERLINK("https://my.matterport.com/show/?m=SQJMPU92HvC","MP Link")</f>
        <v>MP Link</v>
      </c>
      <c r="C2" s="105">
        <v>5600.0</v>
      </c>
      <c r="D2" s="105">
        <v>5700.0</v>
      </c>
      <c r="E2" s="106" t="s">
        <v>59</v>
      </c>
      <c r="F2" s="27"/>
      <c r="G2" s="106" t="s">
        <v>196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103" t="s">
        <v>197</v>
      </c>
      <c r="B3" s="104" t="str">
        <f>HYPERLINK("https://my.matterport.com/show/?m=63QMM9Avjk6","Activated")</f>
        <v>Activated</v>
      </c>
      <c r="C3" s="105">
        <v>5250.0</v>
      </c>
      <c r="D3" s="105">
        <v>5350.0</v>
      </c>
      <c r="E3" s="106" t="s">
        <v>116</v>
      </c>
      <c r="F3" s="107"/>
      <c r="G3" s="106" t="s">
        <v>196</v>
      </c>
      <c r="H3" s="27"/>
      <c r="I3" s="27"/>
      <c r="J3" s="27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100" t="s">
        <v>198</v>
      </c>
      <c r="B4" s="102"/>
      <c r="C4" s="108"/>
      <c r="D4" s="108"/>
      <c r="E4" s="102"/>
      <c r="F4" s="102"/>
      <c r="G4" s="102"/>
      <c r="H4" s="102"/>
      <c r="I4" s="27"/>
      <c r="J4" s="2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103" t="s">
        <v>199</v>
      </c>
      <c r="B5" s="104" t="str">
        <f>HYPERLINK("https://my.matterport.com/show/?m=T2yjXgHUHra","MP Link")</f>
        <v>MP Link</v>
      </c>
      <c r="C5" s="105">
        <v>4525.0</v>
      </c>
      <c r="D5" s="105">
        <v>4625.0</v>
      </c>
      <c r="E5" s="106" t="s">
        <v>200</v>
      </c>
      <c r="F5" s="109"/>
      <c r="G5" s="106" t="s">
        <v>201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110" t="s">
        <v>202</v>
      </c>
      <c r="B6" s="111"/>
      <c r="C6" s="112">
        <v>4725.0</v>
      </c>
      <c r="D6" s="112">
        <v>4825.0</v>
      </c>
      <c r="E6" s="113" t="s">
        <v>200</v>
      </c>
      <c r="F6" s="114" t="s">
        <v>203</v>
      </c>
      <c r="G6" s="113" t="s">
        <v>204</v>
      </c>
      <c r="H6" s="111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110" t="s">
        <v>205</v>
      </c>
      <c r="B7" s="115" t="str">
        <f>HYPERLINK("https://my.matterport.com/show/?m=xqhHz3q9Cez","Matterport")</f>
        <v>Matterport</v>
      </c>
      <c r="C7" s="112">
        <v>4500.0</v>
      </c>
      <c r="D7" s="112">
        <v>4600.0</v>
      </c>
      <c r="E7" s="113" t="s">
        <v>116</v>
      </c>
      <c r="F7" s="114" t="s">
        <v>203</v>
      </c>
      <c r="G7" s="113" t="s">
        <v>206</v>
      </c>
      <c r="H7" s="111"/>
      <c r="I7" s="27"/>
      <c r="J7" s="27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100" t="s">
        <v>207</v>
      </c>
      <c r="B8" s="102"/>
      <c r="C8" s="108"/>
      <c r="D8" s="108"/>
      <c r="E8" s="102"/>
      <c r="F8" s="102"/>
      <c r="G8" s="102"/>
      <c r="H8" s="102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103" t="s">
        <v>208</v>
      </c>
      <c r="B9" s="116" t="str">
        <f>HYPERLINK("https://my.matterport.com/show/?m=q7xK69UD4gP","MP Link")</f>
        <v>MP Link</v>
      </c>
      <c r="C9" s="105">
        <v>7250.0</v>
      </c>
      <c r="D9" s="105">
        <v>7350.0</v>
      </c>
      <c r="E9" s="106" t="s">
        <v>59</v>
      </c>
      <c r="F9" s="109"/>
      <c r="G9" s="106" t="s">
        <v>196</v>
      </c>
      <c r="H9" s="27"/>
      <c r="I9" s="27"/>
      <c r="J9" s="27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103" t="s">
        <v>209</v>
      </c>
      <c r="B10" s="116" t="str">
        <f>HYPERLINK("https://my.matterport.com/show/?m=sxKFvRKWrrQ","Activated")</f>
        <v>Activated</v>
      </c>
      <c r="C10" s="105">
        <v>5575.0</v>
      </c>
      <c r="D10" s="105">
        <v>5675.0</v>
      </c>
      <c r="E10" s="106" t="s">
        <v>59</v>
      </c>
      <c r="F10" s="109"/>
      <c r="G10" s="106" t="s">
        <v>196</v>
      </c>
      <c r="H10" s="27"/>
      <c r="I10" s="27"/>
      <c r="J10" s="27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106" t="s">
        <v>210</v>
      </c>
      <c r="B11" s="116" t="str">
        <f>HYPERLINK("https://my.matterport.com/show/?m=pwpJnkXoUF7","Activated")</f>
        <v>Activated</v>
      </c>
      <c r="C11" s="105">
        <v>7500.0</v>
      </c>
      <c r="D11" s="105">
        <v>7600.0</v>
      </c>
      <c r="E11" s="106" t="s">
        <v>59</v>
      </c>
      <c r="F11" s="109"/>
      <c r="G11" s="106" t="s">
        <v>196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106" t="s">
        <v>211</v>
      </c>
      <c r="B12" s="116" t="str">
        <f>HYPERLINK("https://my.matterport.com/show/?m=Ar5KAPPyLPm","Activated")</f>
        <v>Activated</v>
      </c>
      <c r="C12" s="105">
        <v>5900.0</v>
      </c>
      <c r="D12" s="105">
        <v>6000.0</v>
      </c>
      <c r="E12" s="106" t="s">
        <v>59</v>
      </c>
      <c r="F12" s="27"/>
      <c r="G12" s="106" t="s">
        <v>196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106" t="s">
        <v>212</v>
      </c>
      <c r="B13" s="116" t="str">
        <f>HYPERLINK("https://my.matterport.com/show/?m=oGspdm52V3E","Activated")</f>
        <v>Activated</v>
      </c>
      <c r="C13" s="105">
        <v>5800.0</v>
      </c>
      <c r="D13" s="105">
        <v>5900.0</v>
      </c>
      <c r="E13" s="106" t="s">
        <v>59</v>
      </c>
      <c r="F13" s="109"/>
      <c r="G13" s="106" t="s">
        <v>196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106" t="s">
        <v>213</v>
      </c>
      <c r="B14" s="116" t="str">
        <f>HYPERLINK("https://my.matterport.com/show/?m=KgDtEQF7i9v","Activated")</f>
        <v>Activated</v>
      </c>
      <c r="C14" s="105">
        <v>6000.0</v>
      </c>
      <c r="D14" s="105">
        <v>6100.0</v>
      </c>
      <c r="E14" s="106" t="s">
        <v>200</v>
      </c>
      <c r="F14" s="109"/>
      <c r="G14" s="106" t="s">
        <v>196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106" t="s">
        <v>214</v>
      </c>
      <c r="B15" s="116" t="str">
        <f>HYPERLINK("https://my.matterport.com/show/?m=5aGbyGgsA5J","Activated")</f>
        <v>Activated</v>
      </c>
      <c r="C15" s="105">
        <v>4950.0</v>
      </c>
      <c r="D15" s="105">
        <v>0.0</v>
      </c>
      <c r="E15" s="106" t="s">
        <v>116</v>
      </c>
      <c r="F15" s="107"/>
      <c r="G15" s="106" t="s">
        <v>196</v>
      </c>
      <c r="H15" s="27"/>
      <c r="I15" s="27"/>
      <c r="J15" s="27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106" t="s">
        <v>215</v>
      </c>
      <c r="B16" s="116" t="str">
        <f>HYPERLINK("https://my.matterport.com/show/?m=rrDSTHdhhoW","Activated")</f>
        <v>Activated</v>
      </c>
      <c r="C16" s="105">
        <v>4700.0</v>
      </c>
      <c r="D16" s="105">
        <v>4800.0</v>
      </c>
      <c r="E16" s="106" t="s">
        <v>116</v>
      </c>
      <c r="F16" s="107"/>
      <c r="G16" s="106" t="s">
        <v>196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106" t="s">
        <v>216</v>
      </c>
      <c r="B17" s="116" t="str">
        <f>HYPERLINK("https://my.matterport.com/show/?m=rNfJTdmvYVo","Activated")</f>
        <v>Activated</v>
      </c>
      <c r="C17" s="105">
        <v>4825.0</v>
      </c>
      <c r="D17" s="105">
        <v>4925.0</v>
      </c>
      <c r="E17" s="106" t="s">
        <v>116</v>
      </c>
      <c r="F17" s="109"/>
      <c r="G17" s="106" t="s">
        <v>196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106" t="s">
        <v>217</v>
      </c>
      <c r="B18" s="104" t="str">
        <f>HYPERLINK("https://my.matterport.com/show/?m=q7xK69UD4gP","MP Link")</f>
        <v>MP Link</v>
      </c>
      <c r="C18" s="105">
        <v>5650.0</v>
      </c>
      <c r="D18" s="105">
        <v>5750.0</v>
      </c>
      <c r="E18" s="106" t="s">
        <v>59</v>
      </c>
      <c r="F18" s="107"/>
      <c r="G18" s="106" t="s">
        <v>196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106" t="s">
        <v>218</v>
      </c>
      <c r="B19" s="27"/>
      <c r="C19" s="105">
        <v>6000.0</v>
      </c>
      <c r="D19" s="105">
        <v>6100.0</v>
      </c>
      <c r="E19" s="106" t="s">
        <v>59</v>
      </c>
      <c r="F19" s="109"/>
      <c r="G19" s="106" t="s">
        <v>196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117" t="s">
        <v>219</v>
      </c>
      <c r="B20" s="101"/>
      <c r="C20" s="108"/>
      <c r="D20" s="108"/>
      <c r="E20" s="102"/>
      <c r="F20" s="118"/>
      <c r="G20" s="102"/>
      <c r="H20" s="102"/>
      <c r="I20" s="27"/>
      <c r="J20" s="2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106" t="s">
        <v>220</v>
      </c>
      <c r="B21" s="27"/>
      <c r="C21" s="105">
        <v>4100.0</v>
      </c>
      <c r="D21" s="105">
        <v>4200.0</v>
      </c>
      <c r="E21" s="106" t="s">
        <v>116</v>
      </c>
      <c r="F21" s="109"/>
      <c r="G21" s="27"/>
      <c r="H21" s="27"/>
      <c r="I21" s="27"/>
      <c r="J21" s="2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106" t="s">
        <v>221</v>
      </c>
      <c r="B22" s="104" t="str">
        <f>HYPERLINK("https://my.matterport.com/show/?m=MB6nfvPHBGd","Activated")</f>
        <v>Activated</v>
      </c>
      <c r="C22" s="105">
        <v>8200.0</v>
      </c>
      <c r="D22" s="105">
        <v>8300.0</v>
      </c>
      <c r="E22" s="106" t="s">
        <v>222</v>
      </c>
      <c r="F22" s="119"/>
      <c r="G22" s="106" t="s">
        <v>196</v>
      </c>
      <c r="H22" s="27"/>
      <c r="I22" s="27"/>
      <c r="J22" s="27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106" t="s">
        <v>223</v>
      </c>
      <c r="B23" s="104" t="str">
        <f>HYPERLINK("https://my.matterport.com/show/?m=ARv8hfYHUDN","MP Link")</f>
        <v>MP Link</v>
      </c>
      <c r="C23" s="105">
        <v>4300.0</v>
      </c>
      <c r="D23" s="105">
        <v>4400.0</v>
      </c>
      <c r="E23" s="106" t="s">
        <v>116</v>
      </c>
      <c r="F23" s="109"/>
      <c r="G23" s="106" t="s">
        <v>196</v>
      </c>
      <c r="H23" s="27"/>
      <c r="I23" s="27"/>
      <c r="J23" s="27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106" t="s">
        <v>224</v>
      </c>
      <c r="B24" s="104" t="str">
        <f>HYPERLINK("https://my.matterport.com/show/?m=uZsQgbbiJyz","MP Link")</f>
        <v>MP Link</v>
      </c>
      <c r="C24" s="105">
        <v>4350.0</v>
      </c>
      <c r="D24" s="105">
        <v>4450.0</v>
      </c>
      <c r="E24" s="106" t="s">
        <v>116</v>
      </c>
      <c r="F24" s="107"/>
      <c r="G24" s="106" t="s">
        <v>225</v>
      </c>
      <c r="H24" s="27"/>
      <c r="I24" s="27"/>
      <c r="J24" s="27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106" t="s">
        <v>226</v>
      </c>
      <c r="B25" s="66"/>
      <c r="C25" s="105">
        <v>4325.0</v>
      </c>
      <c r="D25" s="105">
        <v>4425.0</v>
      </c>
      <c r="E25" s="106" t="s">
        <v>116</v>
      </c>
      <c r="F25" s="120" t="s">
        <v>227</v>
      </c>
      <c r="G25" s="106" t="s">
        <v>196</v>
      </c>
      <c r="H25" s="27"/>
      <c r="I25" s="27"/>
      <c r="J25" s="27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121" t="s">
        <v>228</v>
      </c>
      <c r="B26" s="122"/>
      <c r="C26" s="123"/>
      <c r="D26" s="123"/>
      <c r="E26" s="41"/>
      <c r="F26" s="124"/>
      <c r="G26" s="41"/>
      <c r="H26" s="41"/>
      <c r="I26" s="27"/>
      <c r="J26" s="27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106" t="s">
        <v>197</v>
      </c>
      <c r="B27" s="104" t="str">
        <f>HYPERLINK("https://my.matterport.com/show/?m=56hnVLs9xik","MP Link")</f>
        <v>MP Link</v>
      </c>
      <c r="C27" s="105">
        <v>10500.0</v>
      </c>
      <c r="D27" s="105">
        <v>10600.0</v>
      </c>
      <c r="E27" s="106" t="s">
        <v>222</v>
      </c>
      <c r="F27" s="109"/>
      <c r="G27" s="106" t="s">
        <v>196</v>
      </c>
      <c r="H27" s="27"/>
      <c r="I27" s="27"/>
      <c r="J27" s="27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103" t="s">
        <v>229</v>
      </c>
      <c r="B28" s="104" t="str">
        <f>HYPERLINK("https://my.matterport.com/show/?m=hBht4HYkw1d","Activated")</f>
        <v>Activated</v>
      </c>
      <c r="C28" s="105">
        <v>6250.0</v>
      </c>
      <c r="D28" s="105">
        <v>6350.0</v>
      </c>
      <c r="E28" s="106" t="s">
        <v>59</v>
      </c>
      <c r="F28" s="109"/>
      <c r="G28" s="106" t="s">
        <v>196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03" t="s">
        <v>205</v>
      </c>
      <c r="B29" s="125" t="s">
        <v>17</v>
      </c>
      <c r="C29" s="105">
        <v>6275.0</v>
      </c>
      <c r="D29" s="105">
        <v>6375.0</v>
      </c>
      <c r="E29" s="106" t="s">
        <v>59</v>
      </c>
      <c r="F29" s="109"/>
      <c r="G29" s="106" t="s">
        <v>196</v>
      </c>
      <c r="H29" s="27"/>
      <c r="I29" s="27"/>
      <c r="J29" s="27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110" t="s">
        <v>230</v>
      </c>
      <c r="B30" s="126" t="str">
        <f>HYPERLINK("https://my.matterport.com/show/?m=n5oWgz6j9g6","Matterport")</f>
        <v>Matterport</v>
      </c>
      <c r="C30" s="112">
        <v>5850.0</v>
      </c>
      <c r="D30" s="112">
        <v>5950.0</v>
      </c>
      <c r="E30" s="113" t="s">
        <v>59</v>
      </c>
      <c r="F30" s="127"/>
      <c r="G30" s="113" t="s">
        <v>196</v>
      </c>
      <c r="H30" s="111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110" t="s">
        <v>231</v>
      </c>
      <c r="B31" s="128" t="s">
        <v>17</v>
      </c>
      <c r="C31" s="112">
        <v>6200.0</v>
      </c>
      <c r="D31" s="112">
        <v>6300.0</v>
      </c>
      <c r="E31" s="113" t="s">
        <v>59</v>
      </c>
      <c r="F31" s="127"/>
      <c r="G31" s="113" t="s">
        <v>232</v>
      </c>
      <c r="H31" s="111"/>
      <c r="I31" s="27"/>
      <c r="J31" s="27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110" t="s">
        <v>233</v>
      </c>
      <c r="B32" s="126" t="str">
        <f>HYPERLINK("https://my.matterport.com/show/?m=c2PePtQsHQF","Matterport")</f>
        <v>Matterport</v>
      </c>
      <c r="C32" s="112">
        <v>6450.0</v>
      </c>
      <c r="D32" s="112">
        <v>6550.0</v>
      </c>
      <c r="E32" s="113" t="s">
        <v>59</v>
      </c>
      <c r="F32" s="129"/>
      <c r="G32" s="113" t="s">
        <v>196</v>
      </c>
      <c r="H32" s="111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100" t="s">
        <v>234</v>
      </c>
      <c r="B33" s="101"/>
      <c r="C33" s="108"/>
      <c r="D33" s="108"/>
      <c r="E33" s="102"/>
      <c r="F33" s="118"/>
      <c r="G33" s="102"/>
      <c r="H33" s="102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106" t="s">
        <v>235</v>
      </c>
      <c r="B34" s="104" t="str">
        <f>HYPERLINK("https://my.matterport.com/show/?m=zSEHcmWt8SH","Activated")</f>
        <v>Activated</v>
      </c>
      <c r="C34" s="105">
        <v>4475.0</v>
      </c>
      <c r="D34" s="105">
        <v>4575.0</v>
      </c>
      <c r="E34" s="106" t="s">
        <v>236</v>
      </c>
      <c r="F34" s="107"/>
      <c r="G34" s="106" t="s">
        <v>196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106" t="s">
        <v>237</v>
      </c>
      <c r="B35" s="104" t="str">
        <f>HYPERLINK("https://my.matterport.com/show/?m=bWJGPLEKsvz","Activated")</f>
        <v>Activated</v>
      </c>
      <c r="C35" s="105">
        <v>4525.0</v>
      </c>
      <c r="D35" s="105">
        <v>4625.0</v>
      </c>
      <c r="E35" s="106" t="s">
        <v>236</v>
      </c>
      <c r="F35" s="119"/>
      <c r="G35" s="106" t="s">
        <v>196</v>
      </c>
      <c r="H35" s="27"/>
      <c r="I35" s="27"/>
      <c r="J35" s="27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113" t="s">
        <v>238</v>
      </c>
      <c r="B36" s="126" t="str">
        <f>HYPERLINK("https://my.matterport.com/show/?m=GZhV3F1cmLh","Matterport")</f>
        <v>Matterport</v>
      </c>
      <c r="C36" s="112">
        <v>4075.0</v>
      </c>
      <c r="D36" s="112">
        <v>4175.0</v>
      </c>
      <c r="E36" s="113" t="s">
        <v>116</v>
      </c>
      <c r="F36" s="129"/>
      <c r="G36" s="113" t="s">
        <v>196</v>
      </c>
      <c r="H36" s="111"/>
      <c r="I36" s="27"/>
      <c r="J36" s="27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113" t="s">
        <v>239</v>
      </c>
      <c r="B37" s="126" t="str">
        <f>HYPERLINK("https://my.matterport.com/show/?m=F8hZXM6mAWT","Matterport")</f>
        <v>Matterport</v>
      </c>
      <c r="C37" s="112">
        <v>10000.0</v>
      </c>
      <c r="D37" s="112">
        <v>10200.0</v>
      </c>
      <c r="E37" s="113" t="s">
        <v>69</v>
      </c>
      <c r="F37" s="130"/>
      <c r="G37" s="113" t="s">
        <v>196</v>
      </c>
      <c r="H37" s="111"/>
      <c r="I37" s="27"/>
      <c r="J37" s="27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113" t="s">
        <v>226</v>
      </c>
      <c r="B38" s="131"/>
      <c r="C38" s="112">
        <v>6900.0</v>
      </c>
      <c r="D38" s="112">
        <v>7000.0</v>
      </c>
      <c r="E38" s="113" t="s">
        <v>240</v>
      </c>
      <c r="F38" s="127"/>
      <c r="G38" s="113" t="s">
        <v>196</v>
      </c>
      <c r="H38" s="111"/>
      <c r="I38" s="27"/>
      <c r="J38" s="27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113" t="s">
        <v>241</v>
      </c>
      <c r="B39" s="126" t="str">
        <f>HYPERLINK("https://my.matterport.com/show/?m=umPWy3Qzdwm","Matterport")</f>
        <v>Matterport</v>
      </c>
      <c r="C39" s="112">
        <v>7000.0</v>
      </c>
      <c r="D39" s="112">
        <v>7100.0</v>
      </c>
      <c r="E39" s="113" t="s">
        <v>240</v>
      </c>
      <c r="F39" s="129"/>
      <c r="G39" s="113" t="s">
        <v>196</v>
      </c>
      <c r="H39" s="111"/>
      <c r="I39" s="27"/>
      <c r="J39" s="27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110" t="s">
        <v>242</v>
      </c>
      <c r="B40" s="131"/>
      <c r="C40" s="112">
        <v>8075.0</v>
      </c>
      <c r="D40" s="112">
        <v>8175.0</v>
      </c>
      <c r="E40" s="113" t="s">
        <v>222</v>
      </c>
      <c r="F40" s="127"/>
      <c r="G40" s="113" t="s">
        <v>196</v>
      </c>
      <c r="H40" s="111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100" t="s">
        <v>243</v>
      </c>
      <c r="B41" s="101"/>
      <c r="C41" s="108"/>
      <c r="D41" s="108"/>
      <c r="E41" s="102"/>
      <c r="F41" s="118"/>
      <c r="G41" s="102"/>
      <c r="H41" s="102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103" t="s">
        <v>244</v>
      </c>
      <c r="B42" s="66"/>
      <c r="C42" s="105">
        <v>10850.0</v>
      </c>
      <c r="D42" s="105">
        <v>10950.0</v>
      </c>
      <c r="E42" s="106" t="s">
        <v>222</v>
      </c>
      <c r="F42" s="107"/>
      <c r="G42" s="106" t="s">
        <v>245</v>
      </c>
      <c r="H42" s="27"/>
      <c r="I42" s="27"/>
      <c r="J42" s="27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103" t="s">
        <v>246</v>
      </c>
      <c r="B43" s="66"/>
      <c r="C43" s="105">
        <v>6575.0</v>
      </c>
      <c r="D43" s="105">
        <v>6675.0</v>
      </c>
      <c r="E43" s="106" t="s">
        <v>59</v>
      </c>
      <c r="F43" s="107"/>
      <c r="G43" s="106" t="s">
        <v>247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103" t="s">
        <v>248</v>
      </c>
      <c r="B44" s="66"/>
      <c r="C44" s="105">
        <v>6300.0</v>
      </c>
      <c r="D44" s="105">
        <v>6400.0</v>
      </c>
      <c r="E44" s="106" t="s">
        <v>59</v>
      </c>
      <c r="F44" s="109"/>
      <c r="G44" s="106" t="s">
        <v>249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103" t="s">
        <v>250</v>
      </c>
      <c r="B45" s="66"/>
      <c r="C45" s="105">
        <v>5275.0</v>
      </c>
      <c r="D45" s="105">
        <v>5375.0</v>
      </c>
      <c r="E45" s="106" t="s">
        <v>116</v>
      </c>
      <c r="F45" s="107"/>
      <c r="G45" s="106" t="s">
        <v>245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103" t="s">
        <v>251</v>
      </c>
      <c r="B46" s="66"/>
      <c r="C46" s="105">
        <v>12950.0</v>
      </c>
      <c r="D46" s="105">
        <v>13050.0</v>
      </c>
      <c r="E46" s="106" t="s">
        <v>222</v>
      </c>
      <c r="F46" s="109"/>
      <c r="G46" s="106" t="s">
        <v>245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103" t="s">
        <v>252</v>
      </c>
      <c r="B47" s="66"/>
      <c r="C47" s="105">
        <v>5870.0</v>
      </c>
      <c r="D47" s="105">
        <v>5970.0</v>
      </c>
      <c r="E47" s="106" t="s">
        <v>59</v>
      </c>
      <c r="F47" s="109"/>
      <c r="G47" s="106" t="s">
        <v>245</v>
      </c>
      <c r="H47" s="27"/>
      <c r="I47" s="27"/>
      <c r="J47" s="27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103" t="s">
        <v>253</v>
      </c>
      <c r="B48" s="66"/>
      <c r="C48" s="105">
        <v>9400.0</v>
      </c>
      <c r="D48" s="105">
        <v>9500.0</v>
      </c>
      <c r="E48" s="106" t="s">
        <v>59</v>
      </c>
      <c r="F48" s="109"/>
      <c r="G48" s="106" t="s">
        <v>254</v>
      </c>
      <c r="H48" s="27"/>
      <c r="I48" s="27"/>
      <c r="J48" s="27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>
      <c r="A49" s="103" t="s">
        <v>255</v>
      </c>
      <c r="B49" s="66"/>
      <c r="C49" s="105">
        <v>9425.0</v>
      </c>
      <c r="D49" s="105">
        <v>9525.0</v>
      </c>
      <c r="E49" s="106" t="s">
        <v>59</v>
      </c>
      <c r="F49" s="109"/>
      <c r="G49" s="106" t="s">
        <v>256</v>
      </c>
      <c r="H49" s="27"/>
      <c r="I49" s="27"/>
      <c r="J49" s="27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>
      <c r="A50" s="103" t="s">
        <v>257</v>
      </c>
      <c r="B50" s="66"/>
      <c r="C50" s="105">
        <v>5950.0</v>
      </c>
      <c r="D50" s="105">
        <v>6050.0</v>
      </c>
      <c r="E50" s="106" t="s">
        <v>116</v>
      </c>
      <c r="F50" s="109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103" t="s">
        <v>258</v>
      </c>
      <c r="B51" s="66"/>
      <c r="C51" s="105">
        <v>12510.0</v>
      </c>
      <c r="D51" s="105">
        <v>12610.0</v>
      </c>
      <c r="E51" s="106" t="s">
        <v>222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103" t="s">
        <v>259</v>
      </c>
      <c r="B52" s="66"/>
      <c r="C52" s="105">
        <v>12460.0</v>
      </c>
      <c r="D52" s="105">
        <v>12560.0</v>
      </c>
      <c r="E52" s="106" t="s">
        <v>222</v>
      </c>
      <c r="F52" s="120" t="s">
        <v>260</v>
      </c>
      <c r="G52" s="106" t="s">
        <v>261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103" t="s">
        <v>262</v>
      </c>
      <c r="B53" s="66"/>
      <c r="C53" s="105">
        <v>5285.0</v>
      </c>
      <c r="D53" s="105">
        <v>5385.0</v>
      </c>
      <c r="E53" s="106" t="s">
        <v>116</v>
      </c>
      <c r="F53" s="27"/>
      <c r="G53" s="106" t="s">
        <v>245</v>
      </c>
      <c r="H53" s="27"/>
      <c r="I53" s="27"/>
      <c r="J53" s="27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103" t="s">
        <v>263</v>
      </c>
      <c r="B54" s="66"/>
      <c r="C54" s="105">
        <v>8025.0</v>
      </c>
      <c r="D54" s="105">
        <v>8125.0</v>
      </c>
      <c r="E54" s="106" t="s">
        <v>59</v>
      </c>
      <c r="F54" s="120" t="s">
        <v>260</v>
      </c>
      <c r="G54" s="106" t="s">
        <v>261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103" t="s">
        <v>264</v>
      </c>
      <c r="B55" s="66"/>
      <c r="C55" s="105">
        <v>8400.0</v>
      </c>
      <c r="D55" s="105">
        <v>8500.0</v>
      </c>
      <c r="E55" s="106" t="s">
        <v>59</v>
      </c>
      <c r="F55" s="27"/>
      <c r="G55" s="106" t="s">
        <v>245</v>
      </c>
      <c r="H55" s="27"/>
      <c r="I55" s="27"/>
      <c r="J55" s="27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100" t="s">
        <v>265</v>
      </c>
      <c r="B56" s="101"/>
      <c r="C56" s="108"/>
      <c r="D56" s="108"/>
      <c r="E56" s="102"/>
      <c r="F56" s="102"/>
      <c r="G56" s="102"/>
      <c r="H56" s="102"/>
      <c r="I56" s="27"/>
      <c r="J56" s="27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103" t="s">
        <v>266</v>
      </c>
      <c r="B57" s="104" t="str">
        <f>HYPERLINK("https://my.matterport.com/show/?m=Q2RBF3VbTBn","Activated")</f>
        <v>Activated</v>
      </c>
      <c r="C57" s="105">
        <v>3925.0</v>
      </c>
      <c r="D57" s="105">
        <v>4025.0</v>
      </c>
      <c r="E57" s="106" t="s">
        <v>116</v>
      </c>
      <c r="F57" s="27"/>
      <c r="G57" s="106" t="s">
        <v>196</v>
      </c>
      <c r="H57" s="27"/>
      <c r="I57" s="27"/>
      <c r="J57" s="2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103" t="s">
        <v>267</v>
      </c>
      <c r="B58" s="104" t="str">
        <f>HYPERLINK("https://my.matterport.com/show/?m=D2hEnx6Z1ky","Activated")</f>
        <v>Activated</v>
      </c>
      <c r="C58" s="105">
        <v>3925.0</v>
      </c>
      <c r="D58" s="105">
        <v>4025.0</v>
      </c>
      <c r="E58" s="106" t="s">
        <v>200</v>
      </c>
      <c r="F58" s="27"/>
      <c r="G58" s="106" t="s">
        <v>196</v>
      </c>
      <c r="H58" s="27"/>
      <c r="I58" s="27"/>
      <c r="J58" s="27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110" t="s">
        <v>154</v>
      </c>
      <c r="B59" s="128" t="s">
        <v>17</v>
      </c>
      <c r="C59" s="112">
        <v>3900.0</v>
      </c>
      <c r="D59" s="112">
        <v>4000.0</v>
      </c>
      <c r="E59" s="113" t="s">
        <v>200</v>
      </c>
      <c r="F59" s="127"/>
      <c r="G59" s="113" t="s">
        <v>196</v>
      </c>
      <c r="H59" s="111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110" t="s">
        <v>268</v>
      </c>
      <c r="B60" s="126" t="str">
        <f>HYPERLINK("https://my.matterport.com/show/?m=TyLqr6Rvytz","Matterport")</f>
        <v>Matterport</v>
      </c>
      <c r="C60" s="112">
        <v>3925.0</v>
      </c>
      <c r="D60" s="112">
        <v>4025.0</v>
      </c>
      <c r="E60" s="113" t="s">
        <v>200</v>
      </c>
      <c r="F60" s="130"/>
      <c r="G60" s="113" t="s">
        <v>196</v>
      </c>
      <c r="H60" s="111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100" t="s">
        <v>269</v>
      </c>
      <c r="B61" s="101"/>
      <c r="C61" s="108"/>
      <c r="D61" s="108"/>
      <c r="E61" s="102"/>
      <c r="F61" s="132"/>
      <c r="G61" s="102"/>
      <c r="H61" s="102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110" t="s">
        <v>104</v>
      </c>
      <c r="B62" s="126" t="str">
        <f>HYPERLINK("https://my.matterport.com/show/?m=T4F1N4dnK2z","Matterport")</f>
        <v>Matterport</v>
      </c>
      <c r="C62" s="112">
        <v>2900.0</v>
      </c>
      <c r="D62" s="112">
        <v>3000.0</v>
      </c>
      <c r="E62" s="113" t="s">
        <v>116</v>
      </c>
      <c r="F62" s="111"/>
      <c r="G62" s="113" t="s">
        <v>196</v>
      </c>
      <c r="H62" s="111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100" t="s">
        <v>270</v>
      </c>
      <c r="B63" s="101"/>
      <c r="C63" s="108"/>
      <c r="D63" s="108"/>
      <c r="E63" s="102"/>
      <c r="F63" s="118"/>
      <c r="G63" s="102"/>
      <c r="H63" s="102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103" t="s">
        <v>271</v>
      </c>
      <c r="B64" s="66"/>
      <c r="C64" s="105">
        <v>4500.0</v>
      </c>
      <c r="D64" s="105">
        <v>4600.0</v>
      </c>
      <c r="E64" s="106" t="s">
        <v>59</v>
      </c>
      <c r="F64" s="109"/>
      <c r="G64" s="106" t="s">
        <v>272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110" t="s">
        <v>273</v>
      </c>
      <c r="B65" s="126" t="str">
        <f>HYPERLINK("https://my.matterport.com/show/?m=PH5wJT7MgKV","Matterport")</f>
        <v>Matterport</v>
      </c>
      <c r="C65" s="112">
        <v>2800.0</v>
      </c>
      <c r="D65" s="112">
        <v>2900.0</v>
      </c>
      <c r="E65" s="113" t="s">
        <v>116</v>
      </c>
      <c r="F65" s="127"/>
      <c r="G65" s="113" t="s">
        <v>274</v>
      </c>
      <c r="H65" s="111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100" t="s">
        <v>275</v>
      </c>
      <c r="B66" s="101"/>
      <c r="C66" s="108"/>
      <c r="D66" s="108"/>
      <c r="E66" s="102"/>
      <c r="F66" s="118"/>
      <c r="G66" s="102"/>
      <c r="H66" s="102"/>
      <c r="I66" s="27"/>
      <c r="J66" s="27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103" t="s">
        <v>276</v>
      </c>
      <c r="B67" s="104" t="str">
        <f>HYPERLINK("https://my.matterport.com/show/?m=9P7aMK9MnBb","MP Link")</f>
        <v>MP Link</v>
      </c>
      <c r="C67" s="105">
        <v>4750.0</v>
      </c>
      <c r="D67" s="105">
        <v>4850.0</v>
      </c>
      <c r="E67" s="106" t="s">
        <v>59</v>
      </c>
      <c r="F67" s="109"/>
      <c r="G67" s="106" t="s">
        <v>196</v>
      </c>
      <c r="H67" s="27"/>
      <c r="I67" s="27"/>
      <c r="J67" s="27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103" t="s">
        <v>277</v>
      </c>
      <c r="B68" s="104" t="str">
        <f>HYPERLINK("https://my.matterport.com/show/?m=dLPW675H17r","MP Link")</f>
        <v>MP Link</v>
      </c>
      <c r="C68" s="105">
        <v>5500.0</v>
      </c>
      <c r="D68" s="105">
        <v>5600.0</v>
      </c>
      <c r="E68" s="106" t="s">
        <v>59</v>
      </c>
      <c r="F68" s="109"/>
      <c r="G68" s="106" t="s">
        <v>196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106" t="s">
        <v>278</v>
      </c>
      <c r="B69" s="104" t="str">
        <f>HYPERLINK("https://my.matterport.com/show/?m=1VddvCS34Bb","MP Link")</f>
        <v>MP Link</v>
      </c>
      <c r="C69" s="105">
        <v>4300.0</v>
      </c>
      <c r="D69" s="105">
        <v>4400.0</v>
      </c>
      <c r="E69" s="106" t="s">
        <v>116</v>
      </c>
      <c r="F69" s="109"/>
      <c r="G69" s="106" t="s">
        <v>196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110" t="s">
        <v>279</v>
      </c>
      <c r="B70" s="126" t="str">
        <f>HYPERLINK("https://my.matterport.com/show/?m=RRrp6CvMb4h","Matterport")</f>
        <v>Matterport</v>
      </c>
      <c r="C70" s="112">
        <v>5200.0</v>
      </c>
      <c r="D70" s="112">
        <v>5300.0</v>
      </c>
      <c r="E70" s="113" t="s">
        <v>59</v>
      </c>
      <c r="F70" s="127"/>
      <c r="G70" s="113" t="s">
        <v>196</v>
      </c>
      <c r="H70" s="111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110" t="s">
        <v>280</v>
      </c>
      <c r="B71" s="126" t="str">
        <f>HYPERLINK("https://my.matterport.com/show/?m=MjuUwxWuC5i","Matterport")</f>
        <v>Matterport</v>
      </c>
      <c r="C71" s="112">
        <v>5300.0</v>
      </c>
      <c r="D71" s="112">
        <v>5400.0</v>
      </c>
      <c r="E71" s="113" t="s">
        <v>59</v>
      </c>
      <c r="F71" s="127"/>
      <c r="G71" s="113" t="s">
        <v>196</v>
      </c>
      <c r="H71" s="111"/>
      <c r="I71" s="27"/>
      <c r="J71" s="27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10" t="s">
        <v>205</v>
      </c>
      <c r="B72" s="126" t="str">
        <f>HYPERLINK("https://my.matterport.com/show/?m=y6xGosSL4KA","Matterport")</f>
        <v>Matterport</v>
      </c>
      <c r="C72" s="112">
        <v>5450.0</v>
      </c>
      <c r="D72" s="112">
        <v>5550.0</v>
      </c>
      <c r="E72" s="113" t="s">
        <v>59</v>
      </c>
      <c r="F72" s="127"/>
      <c r="G72" s="113" t="s">
        <v>196</v>
      </c>
      <c r="H72" s="111"/>
      <c r="I72" s="27"/>
      <c r="J72" s="27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110" t="s">
        <v>281</v>
      </c>
      <c r="B73" s="126" t="str">
        <f>HYPERLINK("https://my.matterport.com/show/?m=E8e3ssWNpP9","Matterport")</f>
        <v>Matterport</v>
      </c>
      <c r="C73" s="112">
        <v>5300.0</v>
      </c>
      <c r="D73" s="112">
        <v>5400.0</v>
      </c>
      <c r="E73" s="113" t="s">
        <v>59</v>
      </c>
      <c r="F73" s="127"/>
      <c r="G73" s="113" t="s">
        <v>196</v>
      </c>
      <c r="H73" s="111"/>
      <c r="I73" s="27"/>
      <c r="J73" s="27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110" t="s">
        <v>282</v>
      </c>
      <c r="B74" s="134" t="s">
        <v>17</v>
      </c>
      <c r="C74" s="112">
        <v>5500.0</v>
      </c>
      <c r="D74" s="112">
        <v>5600.0</v>
      </c>
      <c r="E74" s="113" t="s">
        <v>59</v>
      </c>
      <c r="F74" s="127"/>
      <c r="G74" s="113" t="s">
        <v>196</v>
      </c>
      <c r="H74" s="111"/>
      <c r="I74" s="27"/>
      <c r="J74" s="27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110" t="s">
        <v>283</v>
      </c>
      <c r="B75" s="128" t="s">
        <v>17</v>
      </c>
      <c r="C75" s="112">
        <v>6000.0</v>
      </c>
      <c r="D75" s="112">
        <v>6100.0</v>
      </c>
      <c r="E75" s="113" t="s">
        <v>59</v>
      </c>
      <c r="F75" s="127"/>
      <c r="G75" s="113" t="s">
        <v>196</v>
      </c>
      <c r="H75" s="111"/>
      <c r="I75" s="27"/>
      <c r="J75" s="2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110" t="s">
        <v>284</v>
      </c>
      <c r="B76" s="128" t="s">
        <v>17</v>
      </c>
      <c r="C76" s="112">
        <v>7925.0</v>
      </c>
      <c r="D76" s="112">
        <v>8025.0</v>
      </c>
      <c r="E76" s="113" t="s">
        <v>222</v>
      </c>
      <c r="F76" s="127"/>
      <c r="G76" s="113" t="s">
        <v>196</v>
      </c>
      <c r="H76" s="111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135" t="s">
        <v>285</v>
      </c>
      <c r="B77" s="122"/>
      <c r="C77" s="136"/>
      <c r="D77" s="136"/>
      <c r="E77" s="41"/>
      <c r="F77" s="124"/>
      <c r="G77" s="41"/>
      <c r="H77" s="41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103" t="s">
        <v>286</v>
      </c>
      <c r="B78" s="104" t="str">
        <f>HYPERLINK("https://my.matterport.com/show/?m=Bp6rGSJbFWM","MP Link")</f>
        <v>MP Link</v>
      </c>
      <c r="C78" s="105">
        <v>7200.0</v>
      </c>
      <c r="D78" s="105">
        <v>7300.0</v>
      </c>
      <c r="E78" s="106" t="s">
        <v>59</v>
      </c>
      <c r="F78" s="109"/>
      <c r="G78" s="106" t="s">
        <v>196</v>
      </c>
      <c r="H78" s="27"/>
      <c r="I78" s="27"/>
      <c r="J78" s="27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>
      <c r="A79" s="100" t="s">
        <v>287</v>
      </c>
      <c r="B79" s="101"/>
      <c r="C79" s="137"/>
      <c r="D79" s="137"/>
      <c r="E79" s="102"/>
      <c r="F79" s="118"/>
      <c r="G79" s="102"/>
      <c r="H79" s="102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103" t="s">
        <v>288</v>
      </c>
      <c r="B80" s="104" t="str">
        <f>HYPERLINK("https://my.matterport.com/show/?m=5khRecGfT3Z","MP Link")</f>
        <v>MP Link</v>
      </c>
      <c r="C80" s="105">
        <v>3800.0</v>
      </c>
      <c r="D80" s="105">
        <v>3900.0</v>
      </c>
      <c r="E80" s="106" t="s">
        <v>116</v>
      </c>
      <c r="F80" s="109"/>
      <c r="G80" s="106" t="s">
        <v>196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103" t="s">
        <v>289</v>
      </c>
      <c r="B81" s="66"/>
      <c r="C81" s="105">
        <v>3850.0</v>
      </c>
      <c r="D81" s="105">
        <v>3950.0</v>
      </c>
      <c r="E81" s="106" t="s">
        <v>116</v>
      </c>
      <c r="F81" s="109"/>
      <c r="G81" s="106" t="s">
        <v>290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103" t="s">
        <v>291</v>
      </c>
      <c r="B82" s="66"/>
      <c r="C82" s="105">
        <v>9100.0</v>
      </c>
      <c r="D82" s="105">
        <v>9200.0</v>
      </c>
      <c r="E82" s="106" t="s">
        <v>222</v>
      </c>
      <c r="F82" s="119"/>
      <c r="G82" s="106" t="s">
        <v>292</v>
      </c>
      <c r="H82" s="27"/>
      <c r="I82" s="27"/>
      <c r="J82" s="27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100" t="s">
        <v>293</v>
      </c>
      <c r="B83" s="101"/>
      <c r="C83" s="108"/>
      <c r="D83" s="108"/>
      <c r="E83" s="102"/>
      <c r="F83" s="132"/>
      <c r="G83" s="102"/>
      <c r="H83" s="102"/>
      <c r="I83" s="27"/>
      <c r="J83" s="27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03" t="s">
        <v>294</v>
      </c>
      <c r="B84" s="104" t="str">
        <f>HYPERLINK("https://my.matterport.com/show/?m=T8Lh9qvMJoV","MP Link")</f>
        <v>MP Link</v>
      </c>
      <c r="C84" s="105">
        <v>3500.0</v>
      </c>
      <c r="D84" s="105">
        <v>3600.0</v>
      </c>
      <c r="E84" s="106" t="s">
        <v>116</v>
      </c>
      <c r="F84" s="109"/>
      <c r="G84" s="106" t="s">
        <v>295</v>
      </c>
      <c r="H84" s="27"/>
      <c r="I84" s="27"/>
      <c r="J84" s="27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00" t="s">
        <v>296</v>
      </c>
      <c r="B85" s="101"/>
      <c r="C85" s="108"/>
      <c r="D85" s="108"/>
      <c r="E85" s="102"/>
      <c r="F85" s="118"/>
      <c r="G85" s="102"/>
      <c r="H85" s="102"/>
      <c r="I85" s="27"/>
      <c r="J85" s="27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103" t="s">
        <v>297</v>
      </c>
      <c r="B86" s="104" t="str">
        <f>HYPERLINK("https://my.matterport.com/show/?m=o2FkE7AogQT","MP Link")</f>
        <v>MP Link</v>
      </c>
      <c r="C86" s="105">
        <v>4800.0</v>
      </c>
      <c r="D86" s="105">
        <v>4900.0</v>
      </c>
      <c r="E86" s="106" t="s">
        <v>200</v>
      </c>
      <c r="F86" s="109"/>
      <c r="G86" s="106" t="s">
        <v>196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100" t="s">
        <v>298</v>
      </c>
      <c r="B87" s="101"/>
      <c r="C87" s="108"/>
      <c r="D87" s="108"/>
      <c r="E87" s="102"/>
      <c r="F87" s="118"/>
      <c r="G87" s="102"/>
      <c r="H87" s="102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103" t="s">
        <v>299</v>
      </c>
      <c r="B88" s="66"/>
      <c r="C88" s="105">
        <v>4025.0</v>
      </c>
      <c r="D88" s="105">
        <v>4125.0</v>
      </c>
      <c r="E88" s="106" t="s">
        <v>300</v>
      </c>
      <c r="F88" s="120" t="s">
        <v>203</v>
      </c>
      <c r="G88" s="106" t="s">
        <v>196</v>
      </c>
      <c r="H88" s="27"/>
      <c r="I88" s="27"/>
      <c r="J88" s="27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10" t="s">
        <v>301</v>
      </c>
      <c r="B89" s="131"/>
      <c r="C89" s="112">
        <v>2800.0</v>
      </c>
      <c r="D89" s="112">
        <v>2900.0</v>
      </c>
      <c r="E89" s="113" t="s">
        <v>236</v>
      </c>
      <c r="F89" s="114" t="s">
        <v>203</v>
      </c>
      <c r="G89" s="113" t="s">
        <v>196</v>
      </c>
      <c r="H89" s="111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100" t="s">
        <v>302</v>
      </c>
      <c r="B90" s="101"/>
      <c r="C90" s="108"/>
      <c r="D90" s="108"/>
      <c r="E90" s="102"/>
      <c r="F90" s="118"/>
      <c r="G90" s="102"/>
      <c r="H90" s="102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138">
        <v>53.0</v>
      </c>
      <c r="B91" s="66"/>
      <c r="C91" s="105">
        <v>4200.0</v>
      </c>
      <c r="D91" s="105">
        <v>4300.0</v>
      </c>
      <c r="E91" s="106" t="s">
        <v>116</v>
      </c>
      <c r="F91" s="120" t="s">
        <v>303</v>
      </c>
      <c r="G91" s="106" t="s">
        <v>304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138">
        <v>64.0</v>
      </c>
      <c r="B92" s="66"/>
      <c r="C92" s="105">
        <v>7950.0</v>
      </c>
      <c r="D92" s="105">
        <v>8050.0</v>
      </c>
      <c r="E92" s="106" t="s">
        <v>222</v>
      </c>
      <c r="F92" s="109"/>
      <c r="G92" s="106" t="s">
        <v>305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135" t="s">
        <v>306</v>
      </c>
      <c r="B93" s="122"/>
      <c r="C93" s="123"/>
      <c r="D93" s="123"/>
      <c r="E93" s="41"/>
      <c r="F93" s="124"/>
      <c r="G93" s="41"/>
      <c r="H93" s="41"/>
      <c r="I93" s="27"/>
      <c r="J93" s="2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138">
        <v>1.0</v>
      </c>
      <c r="B94" s="104" t="str">
        <f>HYPERLINK("https://my.matterport.com/show/?m=msHU6v1NME6","Activated")</f>
        <v>Activated</v>
      </c>
      <c r="C94" s="105">
        <v>6700.0</v>
      </c>
      <c r="D94" s="105">
        <v>6800.0</v>
      </c>
      <c r="E94" s="106" t="s">
        <v>222</v>
      </c>
      <c r="F94" s="120" t="s">
        <v>307</v>
      </c>
      <c r="G94" s="106" t="s">
        <v>196</v>
      </c>
      <c r="H94" s="27"/>
      <c r="I94" s="27"/>
      <c r="J94" s="27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>
      <c r="A95" s="100" t="s">
        <v>308</v>
      </c>
      <c r="B95" s="101"/>
      <c r="C95" s="108"/>
      <c r="D95" s="108"/>
      <c r="E95" s="102"/>
      <c r="F95" s="118"/>
      <c r="G95" s="102"/>
      <c r="H95" s="102"/>
      <c r="I95" s="27"/>
      <c r="J95" s="27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>
      <c r="A96" s="103" t="s">
        <v>20</v>
      </c>
      <c r="B96" s="66"/>
      <c r="C96" s="105">
        <v>7000.0</v>
      </c>
      <c r="D96" s="105">
        <v>7100.0</v>
      </c>
      <c r="E96" s="106" t="s">
        <v>222</v>
      </c>
      <c r="F96" s="109"/>
      <c r="G96" s="106" t="s">
        <v>309</v>
      </c>
      <c r="H96" s="27"/>
      <c r="I96" s="27"/>
      <c r="J96" s="27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106" t="s">
        <v>68</v>
      </c>
      <c r="B97" s="104" t="str">
        <f>HYPERLINK("https://my.matterport.com/show/?m=KUhnvBK8NPJ","MP Link")</f>
        <v>MP Link</v>
      </c>
      <c r="C97" s="105">
        <v>6900.0</v>
      </c>
      <c r="D97" s="105">
        <v>7000.0</v>
      </c>
      <c r="E97" s="106" t="s">
        <v>222</v>
      </c>
      <c r="F97" s="120" t="s">
        <v>303</v>
      </c>
      <c r="G97" s="106" t="s">
        <v>196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100" t="s">
        <v>310</v>
      </c>
      <c r="B98" s="101"/>
      <c r="C98" s="108"/>
      <c r="D98" s="108"/>
      <c r="E98" s="102"/>
      <c r="F98" s="118"/>
      <c r="G98" s="102"/>
      <c r="H98" s="102"/>
      <c r="I98" s="27"/>
      <c r="J98" s="27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103" t="s">
        <v>311</v>
      </c>
      <c r="B99" s="104" t="str">
        <f>HYPERLINK("https://my.matterport.com/show/?m=wYGNBm8i9wb","MP Link")</f>
        <v>MP Link</v>
      </c>
      <c r="C99" s="105">
        <v>6650.0</v>
      </c>
      <c r="D99" s="105">
        <v>6750.0</v>
      </c>
      <c r="E99" s="106" t="s">
        <v>59</v>
      </c>
      <c r="F99" s="120" t="s">
        <v>307</v>
      </c>
      <c r="G99" s="106" t="s">
        <v>196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135" t="s">
        <v>312</v>
      </c>
      <c r="B100" s="122"/>
      <c r="C100" s="123"/>
      <c r="D100" s="123"/>
      <c r="E100" s="41"/>
      <c r="F100" s="124"/>
      <c r="G100" s="41"/>
      <c r="H100" s="41"/>
      <c r="I100" s="27"/>
      <c r="J100" s="27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103" t="s">
        <v>313</v>
      </c>
      <c r="B101" s="104" t="str">
        <f>HYPERLINK("https://my.matterport.com/show/?m=DGaLh9pNutL","Activated")</f>
        <v>Activated</v>
      </c>
      <c r="C101" s="105">
        <v>8550.0</v>
      </c>
      <c r="D101" s="105">
        <v>8650.0</v>
      </c>
      <c r="E101" s="106" t="s">
        <v>314</v>
      </c>
      <c r="F101" s="109"/>
      <c r="G101" s="106" t="s">
        <v>196</v>
      </c>
      <c r="H101" s="27"/>
      <c r="I101" s="27"/>
      <c r="J101" s="27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>
      <c r="A102" s="100" t="s">
        <v>315</v>
      </c>
      <c r="B102" s="101"/>
      <c r="C102" s="108"/>
      <c r="D102" s="108"/>
      <c r="E102" s="102"/>
      <c r="F102" s="118"/>
      <c r="G102" s="102"/>
      <c r="H102" s="102"/>
      <c r="I102" s="27"/>
      <c r="J102" s="27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110" t="s">
        <v>197</v>
      </c>
      <c r="B103" s="131"/>
      <c r="C103" s="112">
        <v>11900.0</v>
      </c>
      <c r="D103" s="112">
        <v>12000.0</v>
      </c>
      <c r="E103" s="113" t="s">
        <v>222</v>
      </c>
      <c r="F103" s="127"/>
      <c r="G103" s="113" t="s">
        <v>196</v>
      </c>
      <c r="H103" s="111"/>
      <c r="I103" s="27"/>
      <c r="J103" s="27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110" t="s">
        <v>316</v>
      </c>
      <c r="B104" s="131"/>
      <c r="C104" s="112">
        <v>11550.0</v>
      </c>
      <c r="D104" s="112">
        <v>11650.0</v>
      </c>
      <c r="E104" s="113" t="s">
        <v>317</v>
      </c>
      <c r="F104" s="114" t="s">
        <v>203</v>
      </c>
      <c r="G104" s="113" t="s">
        <v>196</v>
      </c>
      <c r="H104" s="111"/>
      <c r="I104" s="27"/>
      <c r="J104" s="27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135" t="s">
        <v>318</v>
      </c>
      <c r="B105" s="122"/>
      <c r="C105" s="123"/>
      <c r="D105" s="123"/>
      <c r="E105" s="41"/>
      <c r="F105" s="124"/>
      <c r="G105" s="41"/>
      <c r="H105" s="41"/>
      <c r="I105" s="27"/>
      <c r="J105" s="27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110" t="s">
        <v>110</v>
      </c>
      <c r="B106" s="131"/>
      <c r="C106" s="112">
        <v>5500.0</v>
      </c>
      <c r="D106" s="112">
        <v>5600.0</v>
      </c>
      <c r="E106" s="113" t="s">
        <v>59</v>
      </c>
      <c r="F106" s="114" t="s">
        <v>203</v>
      </c>
      <c r="G106" s="113" t="s">
        <v>196</v>
      </c>
      <c r="H106" s="111"/>
      <c r="I106" s="27"/>
      <c r="J106" s="27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>
      <c r="A107" s="100" t="s">
        <v>319</v>
      </c>
      <c r="B107" s="101"/>
      <c r="C107" s="108"/>
      <c r="D107" s="108"/>
      <c r="E107" s="102"/>
      <c r="F107" s="118"/>
      <c r="G107" s="102"/>
      <c r="H107" s="102"/>
      <c r="I107" s="27"/>
      <c r="J107" s="27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110" t="s">
        <v>110</v>
      </c>
      <c r="B108" s="131"/>
      <c r="C108" s="112">
        <v>4300.0</v>
      </c>
      <c r="D108" s="112">
        <v>4400.0</v>
      </c>
      <c r="E108" s="113" t="s">
        <v>300</v>
      </c>
      <c r="F108" s="114" t="s">
        <v>203</v>
      </c>
      <c r="G108" s="113" t="s">
        <v>196</v>
      </c>
      <c r="H108" s="111"/>
      <c r="I108" s="27"/>
      <c r="J108" s="27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135" t="s">
        <v>320</v>
      </c>
      <c r="B109" s="122"/>
      <c r="C109" s="136"/>
      <c r="D109" s="136"/>
      <c r="E109" s="41"/>
      <c r="F109" s="41"/>
      <c r="G109" s="41"/>
      <c r="H109" s="41"/>
      <c r="I109" s="27"/>
      <c r="J109" s="27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110" t="s">
        <v>268</v>
      </c>
      <c r="B110" s="126" t="str">
        <f>HYPERLINK("https://my.matterport.com/show/?m=DJFXZgRZFgP","Matterport")</f>
        <v>Matterport</v>
      </c>
      <c r="C110" s="112">
        <v>4050.0</v>
      </c>
      <c r="D110" s="112">
        <v>4150.0</v>
      </c>
      <c r="E110" s="113" t="s">
        <v>116</v>
      </c>
      <c r="F110" s="114" t="s">
        <v>203</v>
      </c>
      <c r="G110" s="113" t="s">
        <v>196</v>
      </c>
      <c r="H110" s="111"/>
      <c r="I110" s="27"/>
      <c r="J110" s="27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100" t="s">
        <v>321</v>
      </c>
      <c r="B111" s="101"/>
      <c r="C111" s="108"/>
      <c r="D111" s="108"/>
      <c r="E111" s="102"/>
      <c r="F111" s="118"/>
      <c r="G111" s="102"/>
      <c r="H111" s="102"/>
      <c r="I111" s="27"/>
      <c r="J111" s="27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110" t="s">
        <v>322</v>
      </c>
      <c r="B112" s="131"/>
      <c r="C112" s="112">
        <v>2975.0</v>
      </c>
      <c r="D112" s="112">
        <v>3075.0</v>
      </c>
      <c r="E112" s="113" t="s">
        <v>116</v>
      </c>
      <c r="F112" s="114" t="s">
        <v>203</v>
      </c>
      <c r="G112" s="113" t="s">
        <v>323</v>
      </c>
      <c r="H112" s="111"/>
      <c r="I112" s="27"/>
      <c r="J112" s="27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100" t="s">
        <v>324</v>
      </c>
      <c r="B113" s="101"/>
      <c r="C113" s="108"/>
      <c r="D113" s="108"/>
      <c r="E113" s="102"/>
      <c r="F113" s="140"/>
      <c r="G113" s="102"/>
      <c r="H113" s="102"/>
      <c r="I113" s="27"/>
      <c r="J113" s="27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110" t="s">
        <v>220</v>
      </c>
      <c r="B114" s="131"/>
      <c r="C114" s="112">
        <v>6100.0</v>
      </c>
      <c r="D114" s="112">
        <v>6200.0</v>
      </c>
      <c r="E114" s="113" t="s">
        <v>59</v>
      </c>
      <c r="F114" s="114" t="s">
        <v>203</v>
      </c>
      <c r="G114" s="113" t="s">
        <v>325</v>
      </c>
      <c r="H114" s="111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135" t="s">
        <v>326</v>
      </c>
      <c r="B115" s="122"/>
      <c r="C115" s="123"/>
      <c r="D115" s="123"/>
      <c r="E115" s="41"/>
      <c r="F115" s="124"/>
      <c r="G115" s="41"/>
      <c r="H115" s="41"/>
      <c r="I115" s="27"/>
      <c r="J115" s="27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110" t="s">
        <v>327</v>
      </c>
      <c r="B116" s="126" t="str">
        <f>HYPERLINK("https://my.matterport.com/show/?m=wb48vZAJoR1","Matterport")</f>
        <v>Matterport</v>
      </c>
      <c r="C116" s="112">
        <v>4850.0</v>
      </c>
      <c r="D116" s="112">
        <v>4950.0</v>
      </c>
      <c r="E116" s="141" t="s">
        <v>222</v>
      </c>
      <c r="F116" s="127"/>
      <c r="G116" s="113" t="s">
        <v>196</v>
      </c>
      <c r="H116" s="111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42" t="s">
        <v>328</v>
      </c>
      <c r="B117" s="49"/>
      <c r="C117" s="49"/>
      <c r="D117" s="49"/>
      <c r="E117" s="49"/>
      <c r="F117" s="27"/>
      <c r="G117" s="27"/>
      <c r="H117" s="27"/>
      <c r="I117" s="38"/>
      <c r="J117" s="3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43" t="s">
        <v>329</v>
      </c>
      <c r="B118" s="143" t="s">
        <v>2</v>
      </c>
      <c r="C118" s="143" t="s">
        <v>330</v>
      </c>
      <c r="D118" s="143" t="s">
        <v>331</v>
      </c>
      <c r="E118" s="143" t="s">
        <v>332</v>
      </c>
      <c r="F118" s="27"/>
      <c r="G118" s="27"/>
      <c r="H118" s="27"/>
      <c r="I118" s="38"/>
      <c r="J118" s="38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06" t="s">
        <v>194</v>
      </c>
      <c r="B119" s="106" t="s">
        <v>333</v>
      </c>
      <c r="C119" s="144" t="str">
        <f>HYPERLINK("https://my.matterport.com/show/?m=efSAWHUfMDW","Deactivate")</f>
        <v>Deactivate</v>
      </c>
      <c r="D119" s="105">
        <v>5250.0</v>
      </c>
      <c r="E119" s="145"/>
      <c r="F119" s="27"/>
      <c r="G119" s="27"/>
      <c r="H119" s="27"/>
      <c r="I119" s="38"/>
      <c r="J119" s="3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06" t="s">
        <v>269</v>
      </c>
      <c r="B120" s="106" t="s">
        <v>58</v>
      </c>
      <c r="C120" s="144" t="str">
        <f>HYPERLINK("https://my.matterport.com/show/?m=464UEBEkFik","Deactivate")</f>
        <v>Deactivate</v>
      </c>
      <c r="D120" s="105">
        <v>3500.0</v>
      </c>
      <c r="E120" s="145"/>
      <c r="F120" s="27"/>
      <c r="G120" s="27"/>
      <c r="H120" s="27"/>
      <c r="I120" s="38"/>
      <c r="J120" s="38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06" t="s">
        <v>270</v>
      </c>
      <c r="B121" s="106" t="s">
        <v>37</v>
      </c>
      <c r="C121" s="144" t="str">
        <f>HYPERLINK("https://my.matterport.com/show/?m=zoNCZLyxmxr","Deactivate")</f>
        <v>Deactivate</v>
      </c>
      <c r="D121" s="105">
        <v>3700.0</v>
      </c>
      <c r="E121" s="145"/>
      <c r="F121" s="27"/>
      <c r="G121" s="27"/>
      <c r="H121" s="27"/>
      <c r="I121" s="38"/>
      <c r="J121" s="3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06" t="s">
        <v>334</v>
      </c>
      <c r="B122" s="106" t="s">
        <v>217</v>
      </c>
      <c r="C122" s="27"/>
      <c r="D122" s="105">
        <v>3500.0</v>
      </c>
      <c r="E122" s="145"/>
      <c r="F122" s="27"/>
      <c r="G122" s="27"/>
      <c r="H122" s="27"/>
      <c r="I122" s="38"/>
      <c r="J122" s="38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38"/>
      <c r="J123" s="38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42" t="s">
        <v>335</v>
      </c>
      <c r="B124" s="49"/>
      <c r="C124" s="49"/>
      <c r="D124" s="49"/>
      <c r="E124" s="27"/>
      <c r="F124" s="27"/>
      <c r="G124" s="27"/>
      <c r="H124" s="27"/>
      <c r="I124" s="38"/>
      <c r="J124" s="38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43" t="s">
        <v>329</v>
      </c>
      <c r="B125" s="143" t="s">
        <v>2</v>
      </c>
      <c r="C125" s="143" t="s">
        <v>331</v>
      </c>
      <c r="D125" s="143" t="s">
        <v>332</v>
      </c>
      <c r="E125" s="27"/>
      <c r="F125" s="27"/>
      <c r="G125" s="27"/>
      <c r="H125" s="27"/>
      <c r="I125" s="38"/>
      <c r="J125" s="38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06" t="s">
        <v>228</v>
      </c>
      <c r="B126" s="106" t="s">
        <v>197</v>
      </c>
      <c r="C126" s="105">
        <v>11000.0</v>
      </c>
      <c r="D126" s="105">
        <v>10500.0</v>
      </c>
      <c r="E126" s="27"/>
      <c r="F126" s="27"/>
      <c r="G126" s="27"/>
      <c r="H126" s="27"/>
      <c r="I126" s="38"/>
      <c r="J126" s="38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06" t="s">
        <v>336</v>
      </c>
      <c r="B127" s="106" t="s">
        <v>110</v>
      </c>
      <c r="C127" s="105">
        <v>3150.0</v>
      </c>
      <c r="D127" s="105">
        <v>3000.0</v>
      </c>
      <c r="E127" s="27"/>
      <c r="F127" s="27"/>
      <c r="G127" s="27"/>
      <c r="H127" s="27"/>
      <c r="I127" s="38"/>
      <c r="J127" s="38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38"/>
      <c r="J128" s="38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38"/>
      <c r="J129" s="3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38"/>
      <c r="J130" s="38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38"/>
      <c r="J131" s="38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38"/>
      <c r="J132" s="38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38"/>
      <c r="J133" s="38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38"/>
      <c r="J134" s="38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38"/>
      <c r="J135" s="38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38"/>
      <c r="J136" s="38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38"/>
      <c r="J137" s="38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38"/>
      <c r="J138" s="38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38"/>
      <c r="J139" s="38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38"/>
      <c r="J140" s="38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38"/>
      <c r="J141" s="38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38"/>
      <c r="J142" s="38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38"/>
      <c r="J143" s="38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38"/>
      <c r="J144" s="38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38"/>
      <c r="J145" s="38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38"/>
      <c r="J146" s="38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38"/>
      <c r="J147" s="38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38"/>
      <c r="J148" s="38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38"/>
      <c r="J149" s="38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38"/>
      <c r="J150" s="38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38"/>
      <c r="J151" s="38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38"/>
      <c r="J152" s="38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38"/>
      <c r="J153" s="38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38"/>
      <c r="J154" s="38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38"/>
      <c r="J155" s="38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38"/>
      <c r="J156" s="38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38"/>
      <c r="J157" s="38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38"/>
      <c r="J158" s="38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38"/>
      <c r="J159" s="38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</sheetData>
  <hyperlinks>
    <hyperlink r:id="rId1" ref="B29"/>
    <hyperlink r:id="rId2" ref="B31"/>
    <hyperlink r:id="rId3" ref="B59"/>
    <hyperlink r:id="rId4" ref="B74"/>
    <hyperlink r:id="rId5" ref="B75"/>
    <hyperlink r:id="rId6" ref="B76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88"/>
  </cols>
  <sheetData>
    <row r="1">
      <c r="A1" s="146" t="s">
        <v>337</v>
      </c>
      <c r="B1" s="147" t="s">
        <v>164</v>
      </c>
      <c r="C1" s="147" t="s">
        <v>338</v>
      </c>
      <c r="D1" s="147" t="s">
        <v>78</v>
      </c>
      <c r="E1" s="147" t="s">
        <v>339</v>
      </c>
      <c r="F1" s="147" t="s">
        <v>80</v>
      </c>
      <c r="G1" s="147" t="s">
        <v>81</v>
      </c>
      <c r="H1" s="147" t="s">
        <v>82</v>
      </c>
      <c r="I1" s="147" t="s">
        <v>340</v>
      </c>
      <c r="J1" s="147" t="s">
        <v>341</v>
      </c>
      <c r="K1" s="147" t="s">
        <v>87</v>
      </c>
      <c r="L1" s="147" t="s">
        <v>83</v>
      </c>
      <c r="M1" s="147" t="s">
        <v>86</v>
      </c>
      <c r="N1" s="147" t="s">
        <v>342</v>
      </c>
      <c r="O1" s="148" t="s">
        <v>343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38"/>
    </row>
    <row r="2">
      <c r="A2" s="149" t="s">
        <v>344</v>
      </c>
      <c r="B2" s="150"/>
      <c r="C2" s="27"/>
      <c r="D2" s="27"/>
      <c r="E2" s="36"/>
      <c r="F2" s="27"/>
      <c r="G2" s="27"/>
      <c r="H2" s="27"/>
      <c r="I2" s="27"/>
      <c r="J2" s="27"/>
      <c r="K2" s="151"/>
      <c r="L2" s="66"/>
      <c r="M2" s="66"/>
      <c r="N2" s="66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152"/>
      <c r="B3" s="153"/>
      <c r="C3" s="153"/>
      <c r="D3" s="153"/>
      <c r="E3" s="153"/>
      <c r="F3" s="152"/>
      <c r="G3" s="38"/>
      <c r="H3" s="38"/>
      <c r="I3" s="153"/>
      <c r="J3" s="153"/>
      <c r="K3" s="154"/>
      <c r="L3" s="154"/>
      <c r="M3" s="154"/>
      <c r="N3" s="154"/>
      <c r="O3" s="38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152"/>
      <c r="B4" s="153"/>
      <c r="C4" s="38"/>
      <c r="D4" s="153"/>
      <c r="E4" s="153"/>
      <c r="F4" s="153"/>
      <c r="G4" s="152"/>
      <c r="H4" s="38"/>
      <c r="I4" s="38"/>
      <c r="J4" s="154"/>
      <c r="K4" s="155"/>
      <c r="L4" s="154"/>
      <c r="M4" s="154"/>
      <c r="N4" s="154"/>
      <c r="O4" s="156"/>
      <c r="P4" s="27"/>
      <c r="Q4" s="27"/>
      <c r="R4" s="66"/>
      <c r="S4" s="27"/>
      <c r="T4" s="27"/>
      <c r="U4" s="27"/>
      <c r="V4" s="27"/>
      <c r="W4" s="27"/>
      <c r="X4" s="27"/>
      <c r="Y4" s="27"/>
      <c r="Z4" s="27"/>
      <c r="AA4" s="27"/>
    </row>
    <row r="5">
      <c r="A5" s="157" t="s">
        <v>345</v>
      </c>
      <c r="B5" s="36"/>
      <c r="C5" s="27"/>
      <c r="D5" s="36"/>
      <c r="E5" s="36"/>
      <c r="F5" s="36"/>
      <c r="G5" s="36"/>
      <c r="H5" s="27"/>
      <c r="I5" s="27"/>
      <c r="J5" s="66"/>
      <c r="K5" s="36"/>
      <c r="L5" s="66"/>
      <c r="M5" s="66"/>
      <c r="N5" s="154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158"/>
      <c r="B6" s="159"/>
      <c r="C6" s="160"/>
      <c r="D6" s="159"/>
      <c r="E6" s="161" t="s">
        <v>17</v>
      </c>
      <c r="F6" s="160" t="s">
        <v>346</v>
      </c>
      <c r="G6" s="160" t="s">
        <v>316</v>
      </c>
      <c r="H6" s="160" t="s">
        <v>103</v>
      </c>
      <c r="I6" s="160"/>
      <c r="J6" s="160" t="s">
        <v>347</v>
      </c>
      <c r="K6" s="159" t="s">
        <v>122</v>
      </c>
      <c r="L6" s="162"/>
      <c r="M6" s="162"/>
      <c r="N6" s="163"/>
      <c r="O6" s="163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164"/>
      <c r="R22" s="164"/>
      <c r="S22" s="164"/>
      <c r="T22" s="164"/>
      <c r="U22" s="67"/>
      <c r="V22" s="67"/>
      <c r="W22" s="67"/>
      <c r="X22" s="67"/>
      <c r="Y22" s="67"/>
      <c r="Z22" s="6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164"/>
      <c r="R23" s="164"/>
      <c r="S23" s="164"/>
      <c r="T23" s="164"/>
      <c r="U23" s="67"/>
      <c r="V23" s="67"/>
      <c r="W23" s="67"/>
      <c r="X23" s="67"/>
      <c r="Y23" s="67"/>
      <c r="Z23" s="6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164"/>
      <c r="R24" s="164"/>
      <c r="S24" s="164"/>
      <c r="T24" s="164"/>
      <c r="U24" s="67"/>
      <c r="V24" s="67"/>
      <c r="W24" s="67"/>
      <c r="X24" s="67"/>
      <c r="Y24" s="67"/>
      <c r="Z24" s="6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164"/>
      <c r="R25" s="164"/>
      <c r="S25" s="164"/>
      <c r="T25" s="164"/>
      <c r="U25" s="67"/>
      <c r="V25" s="67"/>
      <c r="W25" s="67"/>
      <c r="X25" s="67"/>
      <c r="Y25" s="67"/>
      <c r="Z25" s="6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164"/>
      <c r="R26" s="164"/>
      <c r="S26" s="164"/>
      <c r="T26" s="164"/>
      <c r="U26" s="67"/>
      <c r="V26" s="67"/>
      <c r="W26" s="67"/>
      <c r="X26" s="67"/>
      <c r="Y26" s="67"/>
      <c r="Z26" s="67"/>
    </row>
  </sheetData>
  <hyperlinks>
    <hyperlink r:id="rId1" ref="E6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4" max="4" width="28.88"/>
  </cols>
  <sheetData>
    <row r="1">
      <c r="A1" s="150"/>
      <c r="B1" s="165" t="s">
        <v>79</v>
      </c>
      <c r="C1" s="165" t="s">
        <v>75</v>
      </c>
      <c r="D1" s="166" t="s">
        <v>342</v>
      </c>
      <c r="E1" s="27"/>
      <c r="F1" s="27"/>
      <c r="I1" s="167" t="s">
        <v>348</v>
      </c>
      <c r="J1" s="167" t="s">
        <v>349</v>
      </c>
    </row>
    <row r="2">
      <c r="A2" s="168" t="s">
        <v>350</v>
      </c>
      <c r="B2" s="150"/>
      <c r="C2" s="150"/>
      <c r="D2" s="27"/>
      <c r="E2" s="27"/>
      <c r="F2" s="27"/>
      <c r="G2" s="169"/>
      <c r="I2" s="167" t="s">
        <v>351</v>
      </c>
      <c r="J2" s="167" t="s">
        <v>352</v>
      </c>
    </row>
    <row r="3">
      <c r="A3" s="168" t="s">
        <v>353</v>
      </c>
      <c r="B3" s="150"/>
      <c r="C3" s="150"/>
      <c r="D3" s="27"/>
      <c r="E3" s="27"/>
      <c r="F3" s="27"/>
      <c r="G3" s="170"/>
      <c r="H3" s="171"/>
      <c r="I3" s="172"/>
      <c r="J3" s="172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>
      <c r="A4" s="166" t="s">
        <v>354</v>
      </c>
      <c r="B4" s="150"/>
      <c r="C4" s="150"/>
      <c r="D4" s="150"/>
      <c r="E4" s="27"/>
      <c r="F4" s="27"/>
      <c r="G4" s="170"/>
      <c r="H4" s="171"/>
      <c r="I4" s="172"/>
      <c r="J4" s="172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>
      <c r="A5" s="166" t="s">
        <v>355</v>
      </c>
      <c r="B5" s="173" t="str">
        <f>HYPERLINK("https://my.matterport.com/show/?m=f6fy6Rp67Ku","Activate Matterport")</f>
        <v>Activate Matterport</v>
      </c>
      <c r="C5" s="150"/>
      <c r="D5" s="106" t="s">
        <v>356</v>
      </c>
      <c r="E5" s="27"/>
      <c r="F5" s="27"/>
      <c r="G5" s="169"/>
    </row>
    <row r="6">
      <c r="A6" s="166" t="s">
        <v>357</v>
      </c>
      <c r="B6" s="173" t="str">
        <f>HYPERLINK("https://my.matterport.com/show/?m=J7phN4ZYM1f","Matterport")</f>
        <v>Matterport</v>
      </c>
      <c r="C6" s="150"/>
      <c r="D6" s="27"/>
      <c r="E6" s="27"/>
      <c r="F6" s="27"/>
      <c r="G6" s="170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>
      <c r="A7" s="168" t="s">
        <v>358</v>
      </c>
      <c r="B7" s="150"/>
      <c r="C7" s="150"/>
      <c r="D7" s="27"/>
      <c r="E7" s="27"/>
      <c r="F7" s="27"/>
      <c r="G7" s="169"/>
    </row>
    <row r="8">
      <c r="A8" s="166" t="s">
        <v>359</v>
      </c>
      <c r="B8" s="150"/>
      <c r="C8" s="150"/>
      <c r="D8" s="27"/>
      <c r="E8" s="27"/>
      <c r="F8" s="27"/>
      <c r="G8" s="169"/>
    </row>
    <row r="9">
      <c r="A9" s="166" t="s">
        <v>360</v>
      </c>
      <c r="B9" s="173" t="str">
        <f>HYPERLINK("https://my.matterport.com/show/?m=YXYfUPeYu1b","Matterport")</f>
        <v>Matterport</v>
      </c>
      <c r="C9" s="174" t="s">
        <v>361</v>
      </c>
      <c r="D9" s="106" t="s">
        <v>356</v>
      </c>
      <c r="E9" s="27"/>
      <c r="F9" s="27"/>
      <c r="G9" s="169"/>
    </row>
    <row r="10">
      <c r="A10" s="166" t="s">
        <v>362</v>
      </c>
      <c r="B10" s="175" t="str">
        <f>HYPERLINK("https://my.matterport.com/show/?m=CnmvRDBqpri","Matterport")</f>
        <v>Matterport</v>
      </c>
      <c r="C10" s="27"/>
      <c r="D10" s="106" t="s">
        <v>356</v>
      </c>
      <c r="E10" s="27"/>
      <c r="F10" s="27"/>
    </row>
    <row r="11" ht="16.5" customHeight="1">
      <c r="A11" s="166" t="s">
        <v>363</v>
      </c>
      <c r="B11" s="173" t="str">
        <f>HYPERLINK("https://my.matterport.com/show/?m=xZ9cqTssaZy","Matterport")</f>
        <v>Matterport</v>
      </c>
      <c r="C11" s="27"/>
      <c r="D11" s="174" t="s">
        <v>356</v>
      </c>
      <c r="E11" s="27"/>
      <c r="F11" s="27"/>
    </row>
    <row r="12" ht="16.5" customHeight="1">
      <c r="A12" s="176" t="s">
        <v>364</v>
      </c>
      <c r="B12" s="150"/>
      <c r="C12" s="27"/>
      <c r="D12" s="150"/>
      <c r="E12" s="27"/>
      <c r="F12" s="27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ht="16.5" customHeight="1">
      <c r="A13" s="166" t="s">
        <v>365</v>
      </c>
      <c r="B13" s="150"/>
      <c r="C13" s="27"/>
      <c r="D13" s="150"/>
      <c r="E13" s="27"/>
      <c r="F13" s="27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ht="16.5" customHeight="1">
      <c r="A14" s="166" t="s">
        <v>366</v>
      </c>
      <c r="B14" s="173" t="str">
        <f>HYPERLINK("https://my.matterport.com/show/?m=9494dRQPFwd","Matterport")</f>
        <v>Matterport</v>
      </c>
      <c r="C14" s="27"/>
      <c r="D14" s="174" t="s">
        <v>356</v>
      </c>
      <c r="E14" s="27"/>
      <c r="F14" s="27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ht="16.5" customHeight="1">
      <c r="A15" s="166" t="s">
        <v>367</v>
      </c>
      <c r="B15" s="173" t="str">
        <f>HYPERLINK("https://my.matterport.com/show/?m=Lw2c6WkPmdt","MP Link")</f>
        <v>MP Link</v>
      </c>
      <c r="C15" s="106" t="s">
        <v>361</v>
      </c>
      <c r="D15" s="174" t="s">
        <v>356</v>
      </c>
      <c r="E15" s="27"/>
      <c r="F15" s="27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ht="17.25" customHeight="1">
      <c r="A16" s="168" t="s">
        <v>368</v>
      </c>
      <c r="B16" s="27"/>
      <c r="C16" s="27"/>
      <c r="D16" s="27"/>
      <c r="E16" s="27"/>
      <c r="F16" s="27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>
      <c r="A17" s="166" t="s">
        <v>369</v>
      </c>
      <c r="B17" s="27"/>
      <c r="C17" s="27"/>
      <c r="D17" s="27"/>
      <c r="E17" s="27"/>
      <c r="F17" s="27"/>
    </row>
    <row r="18">
      <c r="A18" s="166" t="s">
        <v>370</v>
      </c>
      <c r="B18" s="175" t="str">
        <f>HYPERLINK("https://my.matterport.com/show/?m=HhDrRvnL2ti","Matterport")</f>
        <v>Matterport</v>
      </c>
      <c r="C18" s="27"/>
      <c r="D18" s="106" t="s">
        <v>356</v>
      </c>
      <c r="E18" s="27"/>
      <c r="F18" s="27"/>
    </row>
    <row r="19">
      <c r="A19" s="166" t="s">
        <v>371</v>
      </c>
      <c r="B19" s="175" t="str">
        <f>HYPERLINK("https://my.matterport.com/show/?m=HwwNk8oF1pm","Activate Matterport")</f>
        <v>Activate Matterport</v>
      </c>
      <c r="C19" s="27"/>
      <c r="D19" s="106" t="s">
        <v>356</v>
      </c>
      <c r="E19" s="27"/>
      <c r="F19" s="27"/>
    </row>
    <row r="20" ht="15.0" customHeight="1">
      <c r="A20" s="165" t="s">
        <v>372</v>
      </c>
      <c r="B20" s="27"/>
      <c r="C20" s="27"/>
      <c r="D20" s="27"/>
      <c r="E20" s="27"/>
      <c r="F20" s="27"/>
    </row>
    <row r="21" ht="15.0" customHeight="1">
      <c r="A21" s="165" t="s">
        <v>373</v>
      </c>
      <c r="B21" s="27"/>
      <c r="C21" s="27"/>
      <c r="D21" s="106" t="s">
        <v>356</v>
      </c>
      <c r="E21" s="27"/>
      <c r="F21" s="27"/>
    </row>
    <row r="22">
      <c r="A22" s="176" t="s">
        <v>374</v>
      </c>
      <c r="B22" s="150"/>
      <c r="C22" s="150"/>
      <c r="D22" s="150"/>
      <c r="E22" s="27"/>
      <c r="F22" s="27"/>
    </row>
    <row r="23">
      <c r="A23" s="166" t="s">
        <v>375</v>
      </c>
      <c r="B23" s="150"/>
      <c r="C23" s="150"/>
      <c r="D23" s="150"/>
      <c r="E23" s="27"/>
      <c r="F23" s="27"/>
    </row>
    <row r="24">
      <c r="A24" s="166" t="s">
        <v>376</v>
      </c>
      <c r="B24" s="173" t="str">
        <f>HYPERLINK("https://my.matterport.com/show/?m=MDDHeSUhxJ3","Matterport")</f>
        <v>Matterport</v>
      </c>
      <c r="C24" s="150"/>
      <c r="D24" s="174" t="s">
        <v>356</v>
      </c>
      <c r="E24" s="27"/>
      <c r="F24" s="27"/>
    </row>
    <row r="25">
      <c r="A25" s="176" t="s">
        <v>377</v>
      </c>
      <c r="B25" s="150"/>
      <c r="C25" s="150"/>
      <c r="D25" s="150"/>
      <c r="E25" s="27"/>
      <c r="F25" s="27"/>
    </row>
    <row r="26">
      <c r="A26" s="166" t="s">
        <v>378</v>
      </c>
      <c r="B26" s="150"/>
      <c r="C26" s="145"/>
      <c r="D26" s="145"/>
      <c r="E26" s="27"/>
      <c r="F26" s="27"/>
    </row>
    <row r="27">
      <c r="A27" s="166" t="s">
        <v>379</v>
      </c>
      <c r="B27" s="150"/>
      <c r="C27" s="145"/>
      <c r="D27" s="177" t="s">
        <v>356</v>
      </c>
      <c r="E27" s="27"/>
      <c r="F27" s="27"/>
    </row>
    <row r="28">
      <c r="A28" s="166" t="s">
        <v>380</v>
      </c>
      <c r="B28" s="150"/>
      <c r="C28" s="145"/>
      <c r="D28" s="145"/>
      <c r="E28" s="27"/>
      <c r="F28" s="27"/>
    </row>
    <row r="29">
      <c r="A29" s="166" t="s">
        <v>381</v>
      </c>
      <c r="B29" s="173" t="str">
        <f>HYPERLINK("https://my.matterport.com/show/?m=bwEX3nArsQy","Matterport")</f>
        <v>Matterport</v>
      </c>
      <c r="C29" s="145"/>
      <c r="D29" s="177" t="s">
        <v>356</v>
      </c>
      <c r="E29" s="27"/>
      <c r="F29" s="27"/>
    </row>
    <row r="30">
      <c r="A30" s="166" t="s">
        <v>382</v>
      </c>
      <c r="B30" s="150"/>
      <c r="C30" s="145"/>
      <c r="D30" s="145"/>
      <c r="E30" s="27"/>
      <c r="F30" s="27"/>
    </row>
    <row r="31">
      <c r="A31" s="166" t="s">
        <v>383</v>
      </c>
      <c r="B31" s="173" t="str">
        <f>HYPERLINK("https://my.matterport.com/show/?m=bcg5awYRxT1","Activate Matterport")</f>
        <v>Activate Matterport</v>
      </c>
      <c r="C31" s="150"/>
      <c r="D31" s="174" t="s">
        <v>356</v>
      </c>
      <c r="E31" s="27"/>
      <c r="F31" s="27"/>
    </row>
    <row r="32">
      <c r="A32" s="166" t="s">
        <v>384</v>
      </c>
      <c r="B32" s="173" t="str">
        <f>HYPERLINK("https://my.matterport.com/show/?m=TLCMoJp8jmK","Activate Matterport")</f>
        <v>Activate Matterport</v>
      </c>
      <c r="C32" s="145"/>
      <c r="D32" s="177" t="s">
        <v>356</v>
      </c>
      <c r="E32" s="27"/>
      <c r="F32" s="27"/>
    </row>
    <row r="33">
      <c r="A33" s="178" t="s">
        <v>385</v>
      </c>
      <c r="B33" s="150"/>
      <c r="C33" s="145"/>
      <c r="D33" s="145"/>
      <c r="E33" s="27"/>
      <c r="F33" s="27"/>
    </row>
    <row r="34">
      <c r="A34" s="165" t="s">
        <v>386</v>
      </c>
      <c r="B34" s="27"/>
      <c r="C34" s="27"/>
      <c r="D34" s="27"/>
      <c r="E34" s="27"/>
      <c r="F34" s="27"/>
    </row>
    <row r="35">
      <c r="A35" s="179" t="s">
        <v>387</v>
      </c>
      <c r="B35" s="180" t="str">
        <f>HYPERLINK("https://my.matterport.com/show/?m=nTnWMy8d8Py","Matterport")</f>
        <v>Matterport</v>
      </c>
      <c r="C35" s="111"/>
      <c r="D35" s="113" t="s">
        <v>356</v>
      </c>
      <c r="E35" s="27"/>
      <c r="F35" s="27"/>
    </row>
    <row r="36">
      <c r="A36" s="27"/>
      <c r="B36" s="27"/>
      <c r="C36" s="145"/>
      <c r="D36" s="145"/>
      <c r="E36" s="27"/>
      <c r="F36" s="27"/>
    </row>
    <row r="37">
      <c r="A37" s="27"/>
      <c r="B37" s="27"/>
      <c r="C37" s="145"/>
      <c r="D37" s="145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</row>
    <row r="47">
      <c r="A47" s="27"/>
      <c r="B47" s="27"/>
      <c r="C47" s="27"/>
      <c r="D47" s="27"/>
    </row>
    <row r="48">
      <c r="A48" s="27"/>
      <c r="B48" s="27"/>
      <c r="C48" s="27"/>
      <c r="D48" s="27"/>
    </row>
    <row r="49">
      <c r="A49" s="27"/>
      <c r="B49" s="27"/>
      <c r="C49" s="27"/>
      <c r="D49" s="27"/>
    </row>
    <row r="50">
      <c r="A50" s="27"/>
      <c r="B50" s="30"/>
      <c r="C50" s="27"/>
      <c r="D50" s="27"/>
    </row>
    <row r="51">
      <c r="A51" s="27"/>
      <c r="B51" s="30"/>
      <c r="C51" s="27"/>
      <c r="D51" s="27"/>
    </row>
    <row r="52">
      <c r="A52" s="27"/>
      <c r="B52" s="30"/>
      <c r="C52" s="27"/>
      <c r="D52" s="27"/>
    </row>
    <row r="53">
      <c r="A53" s="27"/>
      <c r="B53" s="30"/>
      <c r="C53" s="27"/>
      <c r="D53" s="27"/>
    </row>
    <row r="54">
      <c r="A54" s="27"/>
      <c r="B54" s="30"/>
      <c r="C54" s="27"/>
      <c r="D54" s="27"/>
    </row>
    <row r="55">
      <c r="A55" s="27"/>
      <c r="B55" s="30"/>
      <c r="C55" s="27"/>
      <c r="D55" s="27"/>
    </row>
    <row r="56">
      <c r="A56" s="27"/>
      <c r="B56" s="30"/>
      <c r="C56" s="27"/>
      <c r="D56" s="27"/>
    </row>
    <row r="57">
      <c r="A57" s="27"/>
      <c r="B57" s="30"/>
      <c r="C57" s="27"/>
      <c r="D57" s="27"/>
    </row>
    <row r="58">
      <c r="B58" s="181"/>
    </row>
    <row r="59">
      <c r="B59" s="181"/>
    </row>
    <row r="60">
      <c r="B60" s="181"/>
    </row>
    <row r="61">
      <c r="B61" s="181"/>
    </row>
    <row r="62">
      <c r="B62" s="181"/>
    </row>
    <row r="63">
      <c r="B63" s="181"/>
    </row>
    <row r="64">
      <c r="B64" s="181"/>
    </row>
    <row r="65">
      <c r="B65" s="181"/>
    </row>
    <row r="66">
      <c r="B66" s="181"/>
    </row>
    <row r="67">
      <c r="B67" s="181"/>
    </row>
    <row r="68">
      <c r="B68" s="181"/>
    </row>
    <row r="69">
      <c r="B69" s="181"/>
    </row>
    <row r="70">
      <c r="B70" s="181"/>
    </row>
    <row r="71">
      <c r="B71" s="181"/>
    </row>
    <row r="72">
      <c r="B72" s="181"/>
    </row>
    <row r="73">
      <c r="B73" s="181"/>
    </row>
    <row r="74">
      <c r="B74" s="181"/>
    </row>
    <row r="75">
      <c r="B75" s="181"/>
    </row>
    <row r="76">
      <c r="B76" s="181"/>
    </row>
    <row r="77">
      <c r="B77" s="181"/>
    </row>
    <row r="78">
      <c r="B78" s="181"/>
    </row>
    <row r="79">
      <c r="B79" s="181"/>
    </row>
    <row r="80">
      <c r="B80" s="181"/>
    </row>
    <row r="81">
      <c r="B81" s="181"/>
    </row>
    <row r="82">
      <c r="B82" s="181"/>
    </row>
    <row r="83">
      <c r="B83" s="181"/>
    </row>
    <row r="84">
      <c r="B84" s="181"/>
    </row>
    <row r="85">
      <c r="B85" s="181"/>
    </row>
    <row r="86">
      <c r="B86" s="181"/>
    </row>
    <row r="87">
      <c r="B87" s="181"/>
    </row>
    <row r="88">
      <c r="B88" s="181"/>
    </row>
    <row r="89">
      <c r="B89" s="181"/>
    </row>
    <row r="90">
      <c r="B90" s="181"/>
    </row>
    <row r="91">
      <c r="B91" s="181"/>
    </row>
    <row r="92">
      <c r="B92" s="181"/>
    </row>
    <row r="93">
      <c r="B93" s="181"/>
    </row>
    <row r="94">
      <c r="B94" s="181"/>
    </row>
    <row r="95">
      <c r="B95" s="181"/>
    </row>
    <row r="96">
      <c r="B96" s="181"/>
    </row>
    <row r="97">
      <c r="B97" s="181"/>
    </row>
    <row r="98">
      <c r="B98" s="181"/>
    </row>
    <row r="99">
      <c r="B99" s="181"/>
    </row>
    <row r="100">
      <c r="B100" s="181"/>
    </row>
    <row r="101">
      <c r="B101" s="181"/>
    </row>
    <row r="102">
      <c r="B102" s="181"/>
    </row>
    <row r="103">
      <c r="B103" s="181"/>
    </row>
    <row r="104">
      <c r="B104" s="181"/>
    </row>
    <row r="105">
      <c r="B105" s="181"/>
    </row>
    <row r="106">
      <c r="B106" s="181"/>
    </row>
    <row r="107">
      <c r="B107" s="181"/>
    </row>
    <row r="108">
      <c r="B108" s="181"/>
    </row>
    <row r="109">
      <c r="B109" s="181"/>
    </row>
    <row r="110">
      <c r="B110" s="181"/>
    </row>
    <row r="111">
      <c r="B111" s="181"/>
    </row>
    <row r="112">
      <c r="B112" s="181"/>
    </row>
    <row r="113">
      <c r="B113" s="181"/>
    </row>
    <row r="114">
      <c r="B114" s="181"/>
    </row>
    <row r="115">
      <c r="B115" s="181"/>
    </row>
    <row r="116">
      <c r="B116" s="181"/>
    </row>
    <row r="117">
      <c r="B117" s="181"/>
    </row>
    <row r="118">
      <c r="B118" s="181"/>
    </row>
    <row r="119">
      <c r="B119" s="181"/>
    </row>
    <row r="120">
      <c r="B120" s="181"/>
    </row>
    <row r="121">
      <c r="B121" s="181"/>
    </row>
    <row r="122">
      <c r="B122" s="181"/>
    </row>
    <row r="123">
      <c r="B123" s="181"/>
    </row>
    <row r="124">
      <c r="B124" s="181"/>
    </row>
    <row r="125">
      <c r="B125" s="181"/>
    </row>
    <row r="126">
      <c r="B126" s="181"/>
    </row>
    <row r="127">
      <c r="B127" s="181"/>
    </row>
    <row r="128">
      <c r="B128" s="181"/>
    </row>
    <row r="129">
      <c r="B129" s="181"/>
    </row>
    <row r="130">
      <c r="B130" s="181"/>
    </row>
    <row r="131">
      <c r="B131" s="181"/>
    </row>
    <row r="132">
      <c r="B132" s="181"/>
    </row>
    <row r="133">
      <c r="B133" s="181"/>
    </row>
    <row r="134">
      <c r="B134" s="181"/>
    </row>
    <row r="135">
      <c r="B135" s="181"/>
    </row>
    <row r="136">
      <c r="B136" s="181"/>
    </row>
    <row r="137">
      <c r="B137" s="181"/>
    </row>
    <row r="138">
      <c r="B138" s="181"/>
    </row>
    <row r="139">
      <c r="B139" s="181"/>
    </row>
    <row r="140">
      <c r="B140" s="181"/>
    </row>
    <row r="141">
      <c r="B141" s="181"/>
    </row>
    <row r="142">
      <c r="B142" s="181"/>
    </row>
    <row r="143">
      <c r="B143" s="181"/>
    </row>
    <row r="144">
      <c r="B144" s="181"/>
    </row>
    <row r="145">
      <c r="B145" s="181"/>
    </row>
    <row r="146">
      <c r="B146" s="181"/>
    </row>
    <row r="147">
      <c r="B147" s="181"/>
    </row>
    <row r="148">
      <c r="B148" s="181"/>
    </row>
    <row r="149">
      <c r="B149" s="181"/>
    </row>
    <row r="150">
      <c r="B150" s="181"/>
    </row>
    <row r="151">
      <c r="B151" s="181"/>
    </row>
    <row r="152">
      <c r="B152" s="181"/>
    </row>
    <row r="153">
      <c r="B153" s="181"/>
    </row>
    <row r="154">
      <c r="B154" s="181"/>
    </row>
    <row r="155">
      <c r="B155" s="181"/>
    </row>
    <row r="156">
      <c r="B156" s="181"/>
    </row>
    <row r="157">
      <c r="B157" s="181"/>
    </row>
    <row r="158">
      <c r="B158" s="181"/>
    </row>
    <row r="159">
      <c r="B159" s="181"/>
    </row>
    <row r="160">
      <c r="B160" s="181"/>
    </row>
    <row r="161">
      <c r="B161" s="181"/>
    </row>
    <row r="162">
      <c r="B162" s="181"/>
    </row>
    <row r="163">
      <c r="B163" s="181"/>
    </row>
    <row r="164">
      <c r="B164" s="181"/>
    </row>
    <row r="165">
      <c r="B165" s="181"/>
    </row>
    <row r="166">
      <c r="B166" s="181"/>
    </row>
    <row r="167">
      <c r="B167" s="181"/>
    </row>
    <row r="168">
      <c r="B168" s="181"/>
    </row>
    <row r="169">
      <c r="B169" s="181"/>
    </row>
    <row r="170">
      <c r="B170" s="181"/>
    </row>
    <row r="171">
      <c r="B171" s="181"/>
    </row>
    <row r="172">
      <c r="B172" s="181"/>
    </row>
    <row r="173">
      <c r="B173" s="181"/>
    </row>
    <row r="174">
      <c r="B174" s="181"/>
    </row>
    <row r="175">
      <c r="B175" s="181"/>
    </row>
    <row r="176">
      <c r="B176" s="181"/>
    </row>
    <row r="177">
      <c r="B177" s="181"/>
    </row>
    <row r="178">
      <c r="B178" s="181"/>
    </row>
    <row r="179">
      <c r="B179" s="181"/>
    </row>
    <row r="180">
      <c r="B180" s="181"/>
    </row>
    <row r="181">
      <c r="B181" s="181"/>
    </row>
    <row r="182">
      <c r="B182" s="181"/>
    </row>
    <row r="183">
      <c r="B183" s="181"/>
    </row>
    <row r="184">
      <c r="B184" s="181"/>
    </row>
    <row r="185">
      <c r="B185" s="181"/>
    </row>
    <row r="186">
      <c r="B186" s="181"/>
    </row>
    <row r="187">
      <c r="B187" s="181"/>
    </row>
    <row r="188">
      <c r="B188" s="181"/>
    </row>
    <row r="189">
      <c r="B189" s="181"/>
    </row>
    <row r="190">
      <c r="B190" s="181"/>
    </row>
    <row r="191">
      <c r="B191" s="181"/>
    </row>
    <row r="192">
      <c r="B192" s="181"/>
    </row>
    <row r="193">
      <c r="B193" s="181"/>
    </row>
    <row r="194">
      <c r="B194" s="181"/>
    </row>
    <row r="195">
      <c r="B195" s="181"/>
    </row>
    <row r="196">
      <c r="B196" s="181"/>
    </row>
    <row r="197">
      <c r="B197" s="181"/>
    </row>
    <row r="198">
      <c r="B198" s="181"/>
    </row>
    <row r="199">
      <c r="B199" s="181"/>
    </row>
    <row r="200">
      <c r="B200" s="181"/>
    </row>
    <row r="201">
      <c r="B201" s="181"/>
    </row>
    <row r="202">
      <c r="B202" s="181"/>
    </row>
    <row r="203">
      <c r="B203" s="181"/>
    </row>
    <row r="204">
      <c r="B204" s="181"/>
    </row>
    <row r="205">
      <c r="B205" s="181"/>
    </row>
    <row r="206">
      <c r="B206" s="181"/>
    </row>
    <row r="207">
      <c r="B207" s="181"/>
    </row>
    <row r="208">
      <c r="B208" s="181"/>
    </row>
    <row r="209">
      <c r="B209" s="181"/>
    </row>
    <row r="210">
      <c r="B210" s="181"/>
    </row>
    <row r="211">
      <c r="B211" s="181"/>
    </row>
    <row r="212">
      <c r="B212" s="181"/>
    </row>
    <row r="213">
      <c r="B213" s="181"/>
    </row>
    <row r="214">
      <c r="B214" s="181"/>
    </row>
    <row r="215">
      <c r="B215" s="181"/>
    </row>
    <row r="216">
      <c r="B216" s="181"/>
    </row>
    <row r="217">
      <c r="B217" s="181"/>
    </row>
    <row r="218">
      <c r="B218" s="181"/>
    </row>
    <row r="219">
      <c r="B219" s="181"/>
    </row>
    <row r="220">
      <c r="B220" s="181"/>
    </row>
    <row r="221">
      <c r="B221" s="181"/>
    </row>
    <row r="222">
      <c r="B222" s="181"/>
    </row>
    <row r="223">
      <c r="B223" s="181"/>
    </row>
    <row r="224">
      <c r="B224" s="181"/>
    </row>
    <row r="225">
      <c r="B225" s="181"/>
    </row>
    <row r="226">
      <c r="B226" s="181"/>
    </row>
    <row r="227">
      <c r="B227" s="181"/>
    </row>
    <row r="228">
      <c r="B228" s="181"/>
    </row>
    <row r="229">
      <c r="B229" s="181"/>
    </row>
    <row r="230">
      <c r="B230" s="181"/>
    </row>
    <row r="231">
      <c r="B231" s="181"/>
    </row>
    <row r="232">
      <c r="B232" s="181"/>
    </row>
    <row r="233">
      <c r="B233" s="181"/>
    </row>
    <row r="234">
      <c r="B234" s="181"/>
    </row>
    <row r="235">
      <c r="B235" s="181"/>
    </row>
    <row r="236">
      <c r="B236" s="181"/>
    </row>
    <row r="237">
      <c r="B237" s="181"/>
    </row>
    <row r="238">
      <c r="B238" s="181"/>
    </row>
    <row r="239">
      <c r="B239" s="181"/>
    </row>
    <row r="240">
      <c r="B240" s="181"/>
    </row>
    <row r="241">
      <c r="B241" s="181"/>
    </row>
    <row r="242">
      <c r="B242" s="181"/>
    </row>
    <row r="243">
      <c r="B243" s="181"/>
    </row>
    <row r="244">
      <c r="B244" s="181"/>
    </row>
    <row r="245">
      <c r="B245" s="181"/>
    </row>
    <row r="246">
      <c r="B246" s="181"/>
    </row>
    <row r="247">
      <c r="B247" s="181"/>
    </row>
    <row r="248">
      <c r="B248" s="181"/>
    </row>
    <row r="249">
      <c r="B249" s="181"/>
    </row>
    <row r="250">
      <c r="B250" s="181"/>
    </row>
    <row r="251">
      <c r="B251" s="181"/>
    </row>
    <row r="252">
      <c r="B252" s="181"/>
    </row>
    <row r="253">
      <c r="B253" s="181"/>
    </row>
    <row r="254">
      <c r="B254" s="181"/>
    </row>
    <row r="255">
      <c r="B255" s="181"/>
    </row>
    <row r="256">
      <c r="B256" s="181"/>
    </row>
    <row r="257">
      <c r="B257" s="181"/>
    </row>
    <row r="258">
      <c r="B258" s="181"/>
    </row>
    <row r="259">
      <c r="B259" s="181"/>
    </row>
    <row r="260">
      <c r="B260" s="181"/>
    </row>
    <row r="261">
      <c r="B261" s="181"/>
    </row>
    <row r="262">
      <c r="B262" s="181"/>
    </row>
    <row r="263">
      <c r="B263" s="181"/>
    </row>
    <row r="264">
      <c r="B264" s="181"/>
    </row>
    <row r="265">
      <c r="B265" s="181"/>
    </row>
    <row r="266">
      <c r="B266" s="181"/>
    </row>
    <row r="267">
      <c r="B267" s="181"/>
    </row>
    <row r="268">
      <c r="B268" s="181"/>
    </row>
    <row r="269">
      <c r="B269" s="181"/>
    </row>
    <row r="270">
      <c r="B270" s="181"/>
    </row>
    <row r="271">
      <c r="B271" s="181"/>
    </row>
    <row r="272">
      <c r="B272" s="181"/>
    </row>
    <row r="273">
      <c r="B273" s="181"/>
    </row>
    <row r="274">
      <c r="B274" s="181"/>
    </row>
    <row r="275">
      <c r="B275" s="181"/>
    </row>
    <row r="276">
      <c r="B276" s="181"/>
    </row>
    <row r="277">
      <c r="B277" s="181"/>
    </row>
    <row r="278">
      <c r="B278" s="181"/>
    </row>
    <row r="279">
      <c r="B279" s="181"/>
    </row>
    <row r="280">
      <c r="B280" s="181"/>
    </row>
    <row r="281">
      <c r="B281" s="181"/>
    </row>
    <row r="282">
      <c r="B282" s="181"/>
    </row>
    <row r="283">
      <c r="B283" s="181"/>
    </row>
    <row r="284">
      <c r="B284" s="181"/>
    </row>
    <row r="285">
      <c r="B285" s="181"/>
    </row>
    <row r="286">
      <c r="B286" s="181"/>
    </row>
    <row r="287">
      <c r="B287" s="181"/>
    </row>
    <row r="288">
      <c r="B288" s="181"/>
    </row>
    <row r="289">
      <c r="B289" s="181"/>
    </row>
    <row r="290">
      <c r="B290" s="181"/>
    </row>
    <row r="291">
      <c r="B291" s="181"/>
    </row>
    <row r="292">
      <c r="B292" s="181"/>
    </row>
    <row r="293">
      <c r="B293" s="181"/>
    </row>
    <row r="294">
      <c r="B294" s="181"/>
    </row>
    <row r="295">
      <c r="B295" s="181"/>
    </row>
    <row r="296">
      <c r="B296" s="181"/>
    </row>
    <row r="297">
      <c r="B297" s="181"/>
    </row>
    <row r="298">
      <c r="B298" s="181"/>
    </row>
    <row r="299">
      <c r="B299" s="181"/>
    </row>
    <row r="300">
      <c r="B300" s="181"/>
    </row>
    <row r="301">
      <c r="B301" s="181"/>
    </row>
    <row r="302">
      <c r="B302" s="181"/>
    </row>
    <row r="303">
      <c r="B303" s="181"/>
    </row>
    <row r="304">
      <c r="B304" s="181"/>
    </row>
    <row r="305">
      <c r="B305" s="181"/>
    </row>
    <row r="306">
      <c r="B306" s="181"/>
    </row>
    <row r="307">
      <c r="B307" s="181"/>
    </row>
    <row r="308">
      <c r="B308" s="181"/>
    </row>
    <row r="309">
      <c r="B309" s="181"/>
    </row>
    <row r="310">
      <c r="B310" s="181"/>
    </row>
    <row r="311">
      <c r="B311" s="181"/>
    </row>
    <row r="312">
      <c r="B312" s="181"/>
    </row>
    <row r="313">
      <c r="B313" s="181"/>
    </row>
    <row r="314">
      <c r="B314" s="181"/>
    </row>
    <row r="315">
      <c r="B315" s="181"/>
    </row>
    <row r="316">
      <c r="B316" s="181"/>
    </row>
    <row r="317">
      <c r="B317" s="181"/>
    </row>
    <row r="318">
      <c r="B318" s="181"/>
    </row>
    <row r="319">
      <c r="B319" s="181"/>
    </row>
    <row r="320">
      <c r="B320" s="181"/>
    </row>
    <row r="321">
      <c r="B321" s="181"/>
    </row>
    <row r="322">
      <c r="B322" s="181"/>
    </row>
    <row r="323">
      <c r="B323" s="181"/>
    </row>
    <row r="324">
      <c r="B324" s="181"/>
    </row>
    <row r="325">
      <c r="B325" s="181"/>
    </row>
    <row r="326">
      <c r="B326" s="181"/>
    </row>
    <row r="327">
      <c r="B327" s="181"/>
    </row>
    <row r="328">
      <c r="B328" s="181"/>
    </row>
    <row r="329">
      <c r="B329" s="181"/>
    </row>
    <row r="330">
      <c r="B330" s="181"/>
    </row>
    <row r="331">
      <c r="B331" s="181"/>
    </row>
    <row r="332">
      <c r="B332" s="181"/>
    </row>
    <row r="333">
      <c r="B333" s="181"/>
    </row>
    <row r="334">
      <c r="B334" s="181"/>
    </row>
    <row r="335">
      <c r="B335" s="181"/>
    </row>
    <row r="336">
      <c r="B336" s="181"/>
    </row>
    <row r="337">
      <c r="B337" s="181"/>
    </row>
    <row r="338">
      <c r="B338" s="181"/>
    </row>
    <row r="339">
      <c r="B339" s="181"/>
    </row>
    <row r="340">
      <c r="B340" s="181"/>
    </row>
    <row r="341">
      <c r="B341" s="181"/>
    </row>
    <row r="342">
      <c r="B342" s="181"/>
    </row>
    <row r="343">
      <c r="B343" s="181"/>
    </row>
    <row r="344">
      <c r="B344" s="181"/>
    </row>
    <row r="345">
      <c r="B345" s="181"/>
    </row>
    <row r="346">
      <c r="B346" s="181"/>
    </row>
    <row r="347">
      <c r="B347" s="181"/>
    </row>
    <row r="348">
      <c r="B348" s="181"/>
    </row>
    <row r="349">
      <c r="B349" s="181"/>
    </row>
    <row r="350">
      <c r="B350" s="181"/>
    </row>
    <row r="351">
      <c r="B351" s="181"/>
    </row>
    <row r="352">
      <c r="B352" s="181"/>
    </row>
    <row r="353">
      <c r="B353" s="181"/>
    </row>
    <row r="354">
      <c r="B354" s="181"/>
    </row>
    <row r="355">
      <c r="B355" s="181"/>
    </row>
    <row r="356">
      <c r="B356" s="181"/>
    </row>
    <row r="357">
      <c r="B357" s="181"/>
    </row>
    <row r="358">
      <c r="B358" s="181"/>
    </row>
    <row r="359">
      <c r="B359" s="181"/>
    </row>
    <row r="360">
      <c r="B360" s="181"/>
    </row>
    <row r="361">
      <c r="B361" s="181"/>
    </row>
    <row r="362">
      <c r="B362" s="181"/>
    </row>
    <row r="363">
      <c r="B363" s="181"/>
    </row>
    <row r="364">
      <c r="B364" s="181"/>
    </row>
    <row r="365">
      <c r="B365" s="181"/>
    </row>
    <row r="366">
      <c r="B366" s="181"/>
    </row>
    <row r="367">
      <c r="B367" s="181"/>
    </row>
    <row r="368">
      <c r="B368" s="181"/>
    </row>
    <row r="369">
      <c r="B369" s="181"/>
    </row>
    <row r="370">
      <c r="B370" s="181"/>
    </row>
    <row r="371">
      <c r="B371" s="181"/>
    </row>
    <row r="372">
      <c r="B372" s="181"/>
    </row>
    <row r="373">
      <c r="B373" s="181"/>
    </row>
    <row r="374">
      <c r="B374" s="181"/>
    </row>
    <row r="375">
      <c r="B375" s="181"/>
    </row>
    <row r="376">
      <c r="B376" s="181"/>
    </row>
    <row r="377">
      <c r="B377" s="181"/>
    </row>
    <row r="378">
      <c r="B378" s="181"/>
    </row>
    <row r="379">
      <c r="B379" s="181"/>
    </row>
    <row r="380">
      <c r="B380" s="181"/>
    </row>
    <row r="381">
      <c r="B381" s="181"/>
    </row>
    <row r="382">
      <c r="B382" s="181"/>
    </row>
    <row r="383">
      <c r="B383" s="181"/>
    </row>
    <row r="384">
      <c r="B384" s="181"/>
    </row>
    <row r="385">
      <c r="B385" s="181"/>
    </row>
    <row r="386">
      <c r="B386" s="181"/>
    </row>
    <row r="387">
      <c r="B387" s="181"/>
    </row>
    <row r="388">
      <c r="B388" s="181"/>
    </row>
    <row r="389">
      <c r="B389" s="181"/>
    </row>
    <row r="390">
      <c r="B390" s="181"/>
    </row>
    <row r="391">
      <c r="B391" s="181"/>
    </row>
    <row r="392">
      <c r="B392" s="181"/>
    </row>
    <row r="393">
      <c r="B393" s="181"/>
    </row>
    <row r="394">
      <c r="B394" s="181"/>
    </row>
    <row r="395">
      <c r="B395" s="181"/>
    </row>
    <row r="396">
      <c r="B396" s="181"/>
    </row>
    <row r="397">
      <c r="B397" s="181"/>
    </row>
    <row r="398">
      <c r="B398" s="181"/>
    </row>
    <row r="399">
      <c r="B399" s="181"/>
    </row>
    <row r="400">
      <c r="B400" s="181"/>
    </row>
    <row r="401">
      <c r="B401" s="181"/>
    </row>
    <row r="402">
      <c r="B402" s="181"/>
    </row>
    <row r="403">
      <c r="B403" s="181"/>
    </row>
    <row r="404">
      <c r="B404" s="181"/>
    </row>
    <row r="405">
      <c r="B405" s="181"/>
    </row>
    <row r="406">
      <c r="B406" s="181"/>
    </row>
    <row r="407">
      <c r="B407" s="181"/>
    </row>
    <row r="408">
      <c r="B408" s="181"/>
    </row>
    <row r="409">
      <c r="B409" s="181"/>
    </row>
    <row r="410">
      <c r="B410" s="181"/>
    </row>
    <row r="411">
      <c r="B411" s="181"/>
    </row>
    <row r="412">
      <c r="B412" s="181"/>
    </row>
    <row r="413">
      <c r="B413" s="181"/>
    </row>
    <row r="414">
      <c r="B414" s="181"/>
    </row>
    <row r="415">
      <c r="B415" s="181"/>
    </row>
    <row r="416">
      <c r="B416" s="181"/>
    </row>
    <row r="417">
      <c r="B417" s="181"/>
    </row>
    <row r="418">
      <c r="B418" s="181"/>
    </row>
    <row r="419">
      <c r="B419" s="181"/>
    </row>
    <row r="420">
      <c r="B420" s="181"/>
    </row>
    <row r="421">
      <c r="B421" s="181"/>
    </row>
    <row r="422">
      <c r="B422" s="181"/>
    </row>
    <row r="423">
      <c r="B423" s="181"/>
    </row>
    <row r="424">
      <c r="B424" s="181"/>
    </row>
    <row r="425">
      <c r="B425" s="181"/>
    </row>
    <row r="426">
      <c r="B426" s="181"/>
    </row>
    <row r="427">
      <c r="B427" s="181"/>
    </row>
    <row r="428">
      <c r="B428" s="181"/>
    </row>
    <row r="429">
      <c r="B429" s="181"/>
    </row>
    <row r="430">
      <c r="B430" s="181"/>
    </row>
    <row r="431">
      <c r="B431" s="181"/>
    </row>
    <row r="432">
      <c r="B432" s="181"/>
    </row>
    <row r="433">
      <c r="B433" s="181"/>
    </row>
    <row r="434">
      <c r="B434" s="181"/>
    </row>
    <row r="435">
      <c r="B435" s="181"/>
    </row>
    <row r="436">
      <c r="B436" s="181"/>
    </row>
    <row r="437">
      <c r="B437" s="181"/>
    </row>
    <row r="438">
      <c r="B438" s="181"/>
    </row>
    <row r="439">
      <c r="B439" s="181"/>
    </row>
    <row r="440">
      <c r="B440" s="181"/>
    </row>
    <row r="441">
      <c r="B441" s="181"/>
    </row>
    <row r="442">
      <c r="B442" s="181"/>
    </row>
    <row r="443">
      <c r="B443" s="181"/>
    </row>
    <row r="444">
      <c r="B444" s="181"/>
    </row>
    <row r="445">
      <c r="B445" s="181"/>
    </row>
    <row r="446">
      <c r="B446" s="181"/>
    </row>
    <row r="447">
      <c r="B447" s="181"/>
    </row>
    <row r="448">
      <c r="B448" s="181"/>
    </row>
    <row r="449">
      <c r="B449" s="181"/>
    </row>
    <row r="450">
      <c r="B450" s="181"/>
    </row>
    <row r="451">
      <c r="B451" s="181"/>
    </row>
    <row r="452">
      <c r="B452" s="181"/>
    </row>
    <row r="453">
      <c r="B453" s="181"/>
    </row>
    <row r="454">
      <c r="B454" s="181"/>
    </row>
    <row r="455">
      <c r="B455" s="181"/>
    </row>
    <row r="456">
      <c r="B456" s="181"/>
    </row>
    <row r="457">
      <c r="B457" s="181"/>
    </row>
    <row r="458">
      <c r="B458" s="181"/>
    </row>
    <row r="459">
      <c r="B459" s="181"/>
    </row>
    <row r="460">
      <c r="B460" s="181"/>
    </row>
    <row r="461">
      <c r="B461" s="181"/>
    </row>
    <row r="462">
      <c r="B462" s="181"/>
    </row>
    <row r="463">
      <c r="B463" s="181"/>
    </row>
    <row r="464">
      <c r="B464" s="181"/>
    </row>
    <row r="465">
      <c r="B465" s="181"/>
    </row>
    <row r="466">
      <c r="B466" s="181"/>
    </row>
    <row r="467">
      <c r="B467" s="181"/>
    </row>
    <row r="468">
      <c r="B468" s="181"/>
    </row>
    <row r="469">
      <c r="B469" s="181"/>
    </row>
    <row r="470">
      <c r="B470" s="181"/>
    </row>
    <row r="471">
      <c r="B471" s="181"/>
    </row>
    <row r="472">
      <c r="B472" s="181"/>
    </row>
    <row r="473">
      <c r="B473" s="181"/>
    </row>
    <row r="474">
      <c r="B474" s="181"/>
    </row>
    <row r="475">
      <c r="B475" s="181"/>
    </row>
    <row r="476">
      <c r="B476" s="181"/>
    </row>
    <row r="477">
      <c r="B477" s="181"/>
    </row>
    <row r="478">
      <c r="B478" s="181"/>
    </row>
    <row r="479">
      <c r="B479" s="181"/>
    </row>
    <row r="480">
      <c r="B480" s="181"/>
    </row>
    <row r="481">
      <c r="B481" s="181"/>
    </row>
    <row r="482">
      <c r="B482" s="181"/>
    </row>
    <row r="483">
      <c r="B483" s="181"/>
    </row>
    <row r="484">
      <c r="B484" s="181"/>
    </row>
    <row r="485">
      <c r="B485" s="181"/>
    </row>
    <row r="486">
      <c r="B486" s="181"/>
    </row>
    <row r="487">
      <c r="B487" s="181"/>
    </row>
    <row r="488">
      <c r="B488" s="181"/>
    </row>
    <row r="489">
      <c r="B489" s="181"/>
    </row>
    <row r="490">
      <c r="B490" s="181"/>
    </row>
    <row r="491">
      <c r="B491" s="181"/>
    </row>
    <row r="492">
      <c r="B492" s="181"/>
    </row>
    <row r="493">
      <c r="B493" s="181"/>
    </row>
    <row r="494">
      <c r="B494" s="181"/>
    </row>
    <row r="495">
      <c r="B495" s="181"/>
    </row>
    <row r="496">
      <c r="B496" s="181"/>
    </row>
    <row r="497">
      <c r="B497" s="181"/>
    </row>
    <row r="498">
      <c r="B498" s="181"/>
    </row>
    <row r="499">
      <c r="B499" s="181"/>
    </row>
    <row r="500">
      <c r="B500" s="181"/>
    </row>
    <row r="501">
      <c r="B501" s="181"/>
    </row>
    <row r="502">
      <c r="B502" s="181"/>
    </row>
    <row r="503">
      <c r="B503" s="181"/>
    </row>
    <row r="504">
      <c r="B504" s="181"/>
    </row>
    <row r="505">
      <c r="B505" s="181"/>
    </row>
    <row r="506">
      <c r="B506" s="181"/>
    </row>
    <row r="507">
      <c r="B507" s="181"/>
    </row>
    <row r="508">
      <c r="B508" s="181"/>
    </row>
    <row r="509">
      <c r="B509" s="181"/>
    </row>
    <row r="510">
      <c r="B510" s="181"/>
    </row>
    <row r="511">
      <c r="B511" s="181"/>
    </row>
    <row r="512">
      <c r="B512" s="181"/>
    </row>
    <row r="513">
      <c r="B513" s="181"/>
    </row>
    <row r="514">
      <c r="B514" s="181"/>
    </row>
    <row r="515">
      <c r="B515" s="181"/>
    </row>
    <row r="516">
      <c r="B516" s="181"/>
    </row>
    <row r="517">
      <c r="B517" s="181"/>
    </row>
    <row r="518">
      <c r="B518" s="181"/>
    </row>
    <row r="519">
      <c r="B519" s="181"/>
    </row>
    <row r="520">
      <c r="B520" s="181"/>
    </row>
    <row r="521">
      <c r="B521" s="181"/>
    </row>
    <row r="522">
      <c r="B522" s="181"/>
    </row>
    <row r="523">
      <c r="B523" s="181"/>
    </row>
    <row r="524">
      <c r="B524" s="181"/>
    </row>
    <row r="525">
      <c r="B525" s="181"/>
    </row>
    <row r="526">
      <c r="B526" s="181"/>
    </row>
    <row r="527">
      <c r="B527" s="181"/>
    </row>
    <row r="528">
      <c r="B528" s="181"/>
    </row>
    <row r="529">
      <c r="B529" s="181"/>
    </row>
    <row r="530">
      <c r="B530" s="181"/>
    </row>
    <row r="531">
      <c r="B531" s="181"/>
    </row>
    <row r="532">
      <c r="B532" s="181"/>
    </row>
    <row r="533">
      <c r="B533" s="181"/>
    </row>
    <row r="534">
      <c r="B534" s="181"/>
    </row>
    <row r="535">
      <c r="B535" s="181"/>
    </row>
    <row r="536">
      <c r="B536" s="181"/>
    </row>
    <row r="537">
      <c r="B537" s="181"/>
    </row>
    <row r="538">
      <c r="B538" s="181"/>
    </row>
    <row r="539">
      <c r="B539" s="181"/>
    </row>
    <row r="540">
      <c r="B540" s="181"/>
    </row>
    <row r="541">
      <c r="B541" s="181"/>
    </row>
    <row r="542">
      <c r="B542" s="181"/>
    </row>
    <row r="543">
      <c r="B543" s="181"/>
    </row>
    <row r="544">
      <c r="B544" s="181"/>
    </row>
    <row r="545">
      <c r="B545" s="181"/>
    </row>
    <row r="546">
      <c r="B546" s="181"/>
    </row>
    <row r="547">
      <c r="B547" s="181"/>
    </row>
    <row r="548">
      <c r="B548" s="181"/>
    </row>
    <row r="549">
      <c r="B549" s="181"/>
    </row>
    <row r="550">
      <c r="B550" s="181"/>
    </row>
    <row r="551">
      <c r="B551" s="181"/>
    </row>
    <row r="552">
      <c r="B552" s="181"/>
    </row>
    <row r="553">
      <c r="B553" s="181"/>
    </row>
    <row r="554">
      <c r="B554" s="181"/>
    </row>
    <row r="555">
      <c r="B555" s="181"/>
    </row>
    <row r="556">
      <c r="B556" s="181"/>
    </row>
    <row r="557">
      <c r="B557" s="181"/>
    </row>
    <row r="558">
      <c r="B558" s="181"/>
    </row>
    <row r="559">
      <c r="B559" s="181"/>
    </row>
    <row r="560">
      <c r="B560" s="181"/>
    </row>
    <row r="561">
      <c r="B561" s="181"/>
    </row>
    <row r="562">
      <c r="B562" s="181"/>
    </row>
    <row r="563">
      <c r="B563" s="181"/>
    </row>
    <row r="564">
      <c r="B564" s="181"/>
    </row>
    <row r="565">
      <c r="B565" s="181"/>
    </row>
    <row r="566">
      <c r="B566" s="181"/>
    </row>
    <row r="567">
      <c r="B567" s="181"/>
    </row>
    <row r="568">
      <c r="B568" s="181"/>
    </row>
    <row r="569">
      <c r="B569" s="181"/>
    </row>
    <row r="570">
      <c r="B570" s="181"/>
    </row>
    <row r="571">
      <c r="B571" s="181"/>
    </row>
    <row r="572">
      <c r="B572" s="181"/>
    </row>
    <row r="573">
      <c r="B573" s="181"/>
    </row>
    <row r="574">
      <c r="B574" s="181"/>
    </row>
    <row r="575">
      <c r="B575" s="181"/>
    </row>
    <row r="576">
      <c r="B576" s="181"/>
    </row>
    <row r="577">
      <c r="B577" s="181"/>
    </row>
    <row r="578">
      <c r="B578" s="181"/>
    </row>
    <row r="579">
      <c r="B579" s="181"/>
    </row>
    <row r="580">
      <c r="B580" s="181"/>
    </row>
    <row r="581">
      <c r="B581" s="181"/>
    </row>
    <row r="582">
      <c r="B582" s="181"/>
    </row>
    <row r="583">
      <c r="B583" s="181"/>
    </row>
    <row r="584">
      <c r="B584" s="181"/>
    </row>
    <row r="585">
      <c r="B585" s="181"/>
    </row>
    <row r="586">
      <c r="B586" s="181"/>
    </row>
    <row r="587">
      <c r="B587" s="181"/>
    </row>
    <row r="588">
      <c r="B588" s="181"/>
    </row>
    <row r="589">
      <c r="B589" s="181"/>
    </row>
    <row r="590">
      <c r="B590" s="181"/>
    </row>
    <row r="591">
      <c r="B591" s="181"/>
    </row>
    <row r="592">
      <c r="B592" s="181"/>
    </row>
    <row r="593">
      <c r="B593" s="181"/>
    </row>
    <row r="594">
      <c r="B594" s="181"/>
    </row>
    <row r="595">
      <c r="B595" s="181"/>
    </row>
    <row r="596">
      <c r="B596" s="181"/>
    </row>
    <row r="597">
      <c r="B597" s="181"/>
    </row>
    <row r="598">
      <c r="B598" s="181"/>
    </row>
    <row r="599">
      <c r="B599" s="181"/>
    </row>
    <row r="600">
      <c r="B600" s="181"/>
    </row>
    <row r="601">
      <c r="B601" s="181"/>
    </row>
    <row r="602">
      <c r="B602" s="181"/>
    </row>
    <row r="603">
      <c r="B603" s="181"/>
    </row>
    <row r="604">
      <c r="B604" s="181"/>
    </row>
    <row r="605">
      <c r="B605" s="181"/>
    </row>
    <row r="606">
      <c r="B606" s="181"/>
    </row>
    <row r="607">
      <c r="B607" s="181"/>
    </row>
    <row r="608">
      <c r="B608" s="181"/>
    </row>
    <row r="609">
      <c r="B609" s="181"/>
    </row>
    <row r="610">
      <c r="B610" s="181"/>
    </row>
    <row r="611">
      <c r="B611" s="181"/>
    </row>
    <row r="612">
      <c r="B612" s="181"/>
    </row>
    <row r="613">
      <c r="B613" s="181"/>
    </row>
    <row r="614">
      <c r="B614" s="181"/>
    </row>
    <row r="615">
      <c r="B615" s="181"/>
    </row>
    <row r="616">
      <c r="B616" s="181"/>
    </row>
    <row r="617">
      <c r="B617" s="181"/>
    </row>
    <row r="618">
      <c r="B618" s="181"/>
    </row>
    <row r="619">
      <c r="B619" s="181"/>
    </row>
    <row r="620">
      <c r="B620" s="181"/>
    </row>
    <row r="621">
      <c r="B621" s="181"/>
    </row>
    <row r="622">
      <c r="B622" s="181"/>
    </row>
    <row r="623">
      <c r="B623" s="181"/>
    </row>
    <row r="624">
      <c r="B624" s="181"/>
    </row>
    <row r="625">
      <c r="B625" s="181"/>
    </row>
    <row r="626">
      <c r="B626" s="181"/>
    </row>
    <row r="627">
      <c r="B627" s="181"/>
    </row>
    <row r="628">
      <c r="B628" s="181"/>
    </row>
    <row r="629">
      <c r="B629" s="181"/>
    </row>
    <row r="630">
      <c r="B630" s="181"/>
    </row>
    <row r="631">
      <c r="B631" s="181"/>
    </row>
    <row r="632">
      <c r="B632" s="181"/>
    </row>
    <row r="633">
      <c r="B633" s="181"/>
    </row>
    <row r="634">
      <c r="B634" s="181"/>
    </row>
    <row r="635">
      <c r="B635" s="181"/>
    </row>
    <row r="636">
      <c r="B636" s="181"/>
    </row>
    <row r="637">
      <c r="B637" s="181"/>
    </row>
    <row r="638">
      <c r="B638" s="181"/>
    </row>
    <row r="639">
      <c r="B639" s="181"/>
    </row>
    <row r="640">
      <c r="B640" s="181"/>
    </row>
    <row r="641">
      <c r="B641" s="181"/>
    </row>
    <row r="642">
      <c r="B642" s="181"/>
    </row>
    <row r="643">
      <c r="B643" s="181"/>
    </row>
    <row r="644">
      <c r="B644" s="181"/>
    </row>
    <row r="645">
      <c r="B645" s="181"/>
    </row>
    <row r="646">
      <c r="B646" s="181"/>
    </row>
    <row r="647">
      <c r="B647" s="181"/>
    </row>
    <row r="648">
      <c r="B648" s="181"/>
    </row>
    <row r="649">
      <c r="B649" s="181"/>
    </row>
    <row r="650">
      <c r="B650" s="181"/>
    </row>
    <row r="651">
      <c r="B651" s="181"/>
    </row>
    <row r="652">
      <c r="B652" s="181"/>
    </row>
    <row r="653">
      <c r="B653" s="181"/>
    </row>
    <row r="654">
      <c r="B654" s="181"/>
    </row>
    <row r="655">
      <c r="B655" s="181"/>
    </row>
    <row r="656">
      <c r="B656" s="181"/>
    </row>
    <row r="657">
      <c r="B657" s="181"/>
    </row>
    <row r="658">
      <c r="B658" s="181"/>
    </row>
    <row r="659">
      <c r="B659" s="181"/>
    </row>
    <row r="660">
      <c r="B660" s="181"/>
    </row>
    <row r="661">
      <c r="B661" s="181"/>
    </row>
    <row r="662">
      <c r="B662" s="181"/>
    </row>
    <row r="663">
      <c r="B663" s="181"/>
    </row>
    <row r="664">
      <c r="B664" s="181"/>
    </row>
    <row r="665">
      <c r="B665" s="181"/>
    </row>
    <row r="666">
      <c r="B666" s="181"/>
    </row>
    <row r="667">
      <c r="B667" s="181"/>
    </row>
    <row r="668">
      <c r="B668" s="181"/>
    </row>
    <row r="669">
      <c r="B669" s="181"/>
    </row>
    <row r="670">
      <c r="B670" s="181"/>
    </row>
    <row r="671">
      <c r="B671" s="181"/>
    </row>
    <row r="672">
      <c r="B672" s="181"/>
    </row>
    <row r="673">
      <c r="B673" s="181"/>
    </row>
    <row r="674">
      <c r="B674" s="181"/>
    </row>
    <row r="675">
      <c r="B675" s="181"/>
    </row>
    <row r="676">
      <c r="B676" s="181"/>
    </row>
    <row r="677">
      <c r="B677" s="181"/>
    </row>
    <row r="678">
      <c r="B678" s="181"/>
    </row>
    <row r="679">
      <c r="B679" s="181"/>
    </row>
    <row r="680">
      <c r="B680" s="181"/>
    </row>
    <row r="681">
      <c r="B681" s="181"/>
    </row>
    <row r="682">
      <c r="B682" s="181"/>
    </row>
    <row r="683">
      <c r="B683" s="181"/>
    </row>
    <row r="684">
      <c r="B684" s="181"/>
    </row>
    <row r="685">
      <c r="B685" s="181"/>
    </row>
    <row r="686">
      <c r="B686" s="181"/>
    </row>
    <row r="687">
      <c r="B687" s="181"/>
    </row>
    <row r="688">
      <c r="B688" s="181"/>
    </row>
    <row r="689">
      <c r="B689" s="181"/>
    </row>
    <row r="690">
      <c r="B690" s="181"/>
    </row>
    <row r="691">
      <c r="B691" s="181"/>
    </row>
    <row r="692">
      <c r="B692" s="181"/>
    </row>
    <row r="693">
      <c r="B693" s="181"/>
    </row>
    <row r="694">
      <c r="B694" s="181"/>
    </row>
    <row r="695">
      <c r="B695" s="181"/>
    </row>
    <row r="696">
      <c r="B696" s="181"/>
    </row>
    <row r="697">
      <c r="B697" s="181"/>
    </row>
    <row r="698">
      <c r="B698" s="181"/>
    </row>
    <row r="699">
      <c r="B699" s="181"/>
    </row>
    <row r="700">
      <c r="B700" s="181"/>
    </row>
    <row r="701">
      <c r="B701" s="181"/>
    </row>
    <row r="702">
      <c r="B702" s="181"/>
    </row>
    <row r="703">
      <c r="B703" s="181"/>
    </row>
    <row r="704">
      <c r="B704" s="181"/>
    </row>
    <row r="705">
      <c r="B705" s="18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5" max="5" width="13.0"/>
  </cols>
  <sheetData>
    <row r="1">
      <c r="A1" s="166" t="s">
        <v>388</v>
      </c>
      <c r="B1" s="182" t="s">
        <v>389</v>
      </c>
      <c r="C1" s="182" t="s">
        <v>390</v>
      </c>
      <c r="D1" s="182" t="s">
        <v>391</v>
      </c>
      <c r="E1" s="166" t="s">
        <v>392</v>
      </c>
      <c r="F1" s="183" t="s">
        <v>393</v>
      </c>
      <c r="G1" s="166" t="s">
        <v>394</v>
      </c>
      <c r="H1" s="27"/>
      <c r="I1" s="27"/>
      <c r="J1" s="27"/>
      <c r="K1" s="27"/>
      <c r="L1" s="27"/>
    </row>
    <row r="2">
      <c r="A2" s="174" t="s">
        <v>395</v>
      </c>
      <c r="B2" s="150"/>
      <c r="C2" s="105">
        <v>4500.0</v>
      </c>
      <c r="D2" s="145"/>
      <c r="E2" s="174" t="s">
        <v>300</v>
      </c>
      <c r="F2" s="184" t="s">
        <v>396</v>
      </c>
      <c r="G2" s="184" t="s">
        <v>397</v>
      </c>
      <c r="H2" s="174" t="s">
        <v>361</v>
      </c>
      <c r="I2" s="150"/>
      <c r="J2" s="27"/>
      <c r="K2" s="27"/>
      <c r="L2" s="27"/>
    </row>
    <row r="3">
      <c r="A3" s="185" t="s">
        <v>398</v>
      </c>
      <c r="B3" s="186"/>
      <c r="C3" s="108"/>
      <c r="D3" s="108"/>
      <c r="E3" s="102"/>
      <c r="F3" s="187"/>
      <c r="G3" s="187"/>
      <c r="H3" s="102"/>
      <c r="I3" s="27"/>
      <c r="J3" s="27"/>
      <c r="K3" s="27"/>
      <c r="L3" s="27"/>
    </row>
    <row r="4">
      <c r="A4" s="106" t="s">
        <v>311</v>
      </c>
      <c r="B4" s="175" t="str">
        <f>HYPERLINK("https://my.matterport.com/show/?m=TbUdbjfWnxd","MP Link")</f>
        <v>MP Link</v>
      </c>
      <c r="C4" s="105">
        <v>6300.0</v>
      </c>
      <c r="D4" s="145"/>
      <c r="E4" s="106" t="s">
        <v>300</v>
      </c>
      <c r="F4" s="106" t="s">
        <v>396</v>
      </c>
      <c r="G4" s="106" t="s">
        <v>399</v>
      </c>
      <c r="H4" s="106" t="s">
        <v>361</v>
      </c>
      <c r="I4" s="27"/>
      <c r="J4" s="27"/>
    </row>
    <row r="5">
      <c r="A5" s="106" t="s">
        <v>20</v>
      </c>
      <c r="B5" s="173" t="str">
        <f>HYPERLINK("https://my.matterport.com/show/?m=1f8BhNEJ3vc","MP Link")</f>
        <v>MP Link</v>
      </c>
      <c r="C5" s="105">
        <v>6300.0</v>
      </c>
      <c r="D5" s="145"/>
      <c r="E5" s="106" t="s">
        <v>300</v>
      </c>
      <c r="F5" s="184" t="s">
        <v>396</v>
      </c>
      <c r="G5" s="106" t="s">
        <v>399</v>
      </c>
      <c r="H5" s="106" t="s">
        <v>361</v>
      </c>
      <c r="I5" s="27"/>
      <c r="J5" s="27"/>
    </row>
    <row r="6">
      <c r="A6" s="185" t="s">
        <v>400</v>
      </c>
      <c r="B6" s="102"/>
      <c r="C6" s="108"/>
      <c r="D6" s="108"/>
      <c r="E6" s="186"/>
      <c r="F6" s="188"/>
      <c r="G6" s="187"/>
      <c r="H6" s="186"/>
      <c r="I6" s="27"/>
      <c r="J6" s="27"/>
      <c r="K6" s="27"/>
      <c r="L6" s="27"/>
    </row>
    <row r="7">
      <c r="A7" s="174" t="s">
        <v>401</v>
      </c>
      <c r="B7" s="27"/>
      <c r="C7" s="105">
        <v>8900.0</v>
      </c>
      <c r="D7" s="145"/>
      <c r="E7" s="174" t="s">
        <v>300</v>
      </c>
      <c r="F7" s="184" t="s">
        <v>396</v>
      </c>
      <c r="G7" s="184" t="s">
        <v>402</v>
      </c>
      <c r="H7" s="174" t="s">
        <v>361</v>
      </c>
      <c r="I7" s="27"/>
      <c r="J7" s="27"/>
      <c r="K7" s="27"/>
      <c r="L7" s="27"/>
    </row>
    <row r="8">
      <c r="A8" s="174" t="s">
        <v>403</v>
      </c>
      <c r="B8" s="27"/>
      <c r="C8" s="105">
        <v>9200.0</v>
      </c>
      <c r="D8" s="145"/>
      <c r="E8" s="174" t="s">
        <v>300</v>
      </c>
      <c r="F8" s="184" t="s">
        <v>396</v>
      </c>
      <c r="G8" s="184" t="s">
        <v>402</v>
      </c>
      <c r="H8" s="27"/>
      <c r="I8" s="27"/>
      <c r="J8" s="27"/>
      <c r="K8" s="27"/>
      <c r="L8" s="27"/>
    </row>
    <row r="9">
      <c r="A9" s="174" t="s">
        <v>404</v>
      </c>
      <c r="B9" s="173" t="str">
        <f>HYPERLINK("https://my.matterport.com/show/?m=qaiVL21khwf","MP Link")</f>
        <v>MP Link</v>
      </c>
      <c r="C9" s="105">
        <v>9200.0</v>
      </c>
      <c r="D9" s="145"/>
      <c r="E9" s="106" t="s">
        <v>300</v>
      </c>
      <c r="F9" s="189">
        <v>46235.0</v>
      </c>
      <c r="G9" s="184" t="s">
        <v>405</v>
      </c>
      <c r="H9" s="150"/>
      <c r="I9" s="27"/>
      <c r="J9" s="27"/>
      <c r="K9" s="27"/>
      <c r="L9" s="27"/>
    </row>
    <row r="10">
      <c r="A10" s="190" t="s">
        <v>327</v>
      </c>
      <c r="B10" s="191"/>
      <c r="C10" s="112">
        <v>8800.0</v>
      </c>
      <c r="D10" s="192"/>
      <c r="E10" s="190" t="s">
        <v>300</v>
      </c>
      <c r="F10" s="193" t="s">
        <v>396</v>
      </c>
      <c r="G10" s="193" t="s">
        <v>402</v>
      </c>
      <c r="H10" s="111"/>
      <c r="I10" s="27"/>
      <c r="J10" s="27"/>
      <c r="K10" s="27"/>
      <c r="L10" s="27"/>
    </row>
    <row r="11">
      <c r="A11" s="190" t="s">
        <v>406</v>
      </c>
      <c r="B11" s="111"/>
      <c r="C11" s="112">
        <v>9200.0</v>
      </c>
      <c r="D11" s="192"/>
      <c r="E11" s="113" t="s">
        <v>300</v>
      </c>
      <c r="F11" s="194">
        <v>46266.0</v>
      </c>
      <c r="G11" s="193" t="s">
        <v>405</v>
      </c>
      <c r="H11" s="191"/>
      <c r="I11" s="27"/>
      <c r="J11" s="27"/>
      <c r="K11" s="27"/>
      <c r="L11" s="27"/>
    </row>
    <row r="12">
      <c r="A12" s="185" t="s">
        <v>407</v>
      </c>
      <c r="B12" s="186"/>
      <c r="C12" s="108"/>
      <c r="D12" s="108"/>
      <c r="E12" s="186"/>
      <c r="F12" s="187"/>
      <c r="G12" s="195"/>
      <c r="H12" s="102"/>
      <c r="I12" s="27"/>
      <c r="J12" s="27"/>
      <c r="K12" s="27"/>
      <c r="L12" s="27"/>
    </row>
    <row r="13">
      <c r="A13" s="174" t="s">
        <v>220</v>
      </c>
      <c r="B13" s="175" t="str">
        <f>HYPERLINK("https://my.matterport.com/show/?m=HPPNiS9Ap7t","MP Link")</f>
        <v>MP Link</v>
      </c>
      <c r="C13" s="105">
        <v>5400.0</v>
      </c>
      <c r="D13" s="145"/>
      <c r="E13" s="174" t="s">
        <v>408</v>
      </c>
      <c r="F13" s="196"/>
      <c r="G13" s="196"/>
      <c r="H13" s="150"/>
      <c r="I13" s="27"/>
      <c r="J13" s="27"/>
      <c r="K13" s="27"/>
      <c r="L13" s="27"/>
    </row>
    <row r="14">
      <c r="A14" s="174" t="s">
        <v>282</v>
      </c>
      <c r="B14" s="150"/>
      <c r="C14" s="105">
        <v>5300.0</v>
      </c>
      <c r="D14" s="145"/>
      <c r="E14" s="174" t="s">
        <v>116</v>
      </c>
      <c r="F14" s="197" t="s">
        <v>396</v>
      </c>
      <c r="G14" s="197" t="s">
        <v>409</v>
      </c>
      <c r="H14" s="27"/>
      <c r="I14" s="27"/>
      <c r="J14" s="27"/>
      <c r="K14" s="27"/>
      <c r="L14" s="27"/>
    </row>
    <row r="15">
      <c r="A15" s="174" t="s">
        <v>410</v>
      </c>
      <c r="B15" s="150"/>
      <c r="C15" s="105">
        <v>5000.0</v>
      </c>
      <c r="D15" s="145"/>
      <c r="E15" s="174" t="s">
        <v>116</v>
      </c>
      <c r="F15" s="198">
        <v>46235.0</v>
      </c>
      <c r="G15" s="197" t="s">
        <v>405</v>
      </c>
      <c r="H15" s="27"/>
      <c r="I15" s="27"/>
      <c r="J15" s="27"/>
      <c r="K15" s="27"/>
      <c r="L15" s="27"/>
    </row>
    <row r="16">
      <c r="A16" s="190" t="s">
        <v>58</v>
      </c>
      <c r="B16" s="191"/>
      <c r="C16" s="112">
        <v>9250.0</v>
      </c>
      <c r="D16" s="192"/>
      <c r="E16" s="190" t="s">
        <v>411</v>
      </c>
      <c r="F16" s="199">
        <v>46266.0</v>
      </c>
      <c r="G16" s="200" t="s">
        <v>405</v>
      </c>
      <c r="H16" s="111"/>
      <c r="I16" s="27"/>
      <c r="J16" s="27"/>
      <c r="K16" s="27"/>
      <c r="L16" s="27"/>
    </row>
    <row r="17">
      <c r="A17" s="185" t="s">
        <v>412</v>
      </c>
      <c r="B17" s="186"/>
      <c r="C17" s="108"/>
      <c r="D17" s="108"/>
      <c r="E17" s="186"/>
      <c r="F17" s="195"/>
      <c r="G17" s="195"/>
      <c r="H17" s="186"/>
      <c r="I17" s="27"/>
      <c r="J17" s="27"/>
      <c r="K17" s="27"/>
      <c r="L17" s="27"/>
    </row>
    <row r="18">
      <c r="A18" s="174" t="s">
        <v>413</v>
      </c>
      <c r="B18" s="27"/>
      <c r="C18" s="105">
        <v>5800.0</v>
      </c>
      <c r="D18" s="145"/>
      <c r="E18" s="174" t="s">
        <v>200</v>
      </c>
      <c r="F18" s="196"/>
      <c r="G18" s="197" t="s">
        <v>414</v>
      </c>
      <c r="H18" s="27"/>
      <c r="I18" s="27"/>
      <c r="J18" s="27"/>
      <c r="K18" s="27"/>
      <c r="L18" s="27"/>
    </row>
    <row r="19">
      <c r="A19" s="174" t="s">
        <v>415</v>
      </c>
      <c r="B19" s="27"/>
      <c r="C19" s="105">
        <v>5800.0</v>
      </c>
      <c r="D19" s="145"/>
      <c r="E19" s="106" t="s">
        <v>200</v>
      </c>
      <c r="F19" s="196"/>
      <c r="G19" s="197" t="s">
        <v>416</v>
      </c>
      <c r="H19" s="27"/>
      <c r="I19" s="27"/>
      <c r="J19" s="27"/>
      <c r="K19" s="27"/>
      <c r="L19" s="27"/>
    </row>
    <row r="20">
      <c r="A20" s="190" t="s">
        <v>58</v>
      </c>
      <c r="B20" s="191"/>
      <c r="C20" s="112">
        <v>11300.0</v>
      </c>
      <c r="D20" s="192"/>
      <c r="E20" s="190" t="s">
        <v>417</v>
      </c>
      <c r="F20" s="201"/>
      <c r="G20" s="200" t="s">
        <v>418</v>
      </c>
      <c r="H20" s="191"/>
      <c r="I20" s="27"/>
      <c r="J20" s="27"/>
      <c r="K20" s="27"/>
      <c r="L20" s="27"/>
    </row>
    <row r="21">
      <c r="A21" s="185" t="s">
        <v>419</v>
      </c>
      <c r="B21" s="102"/>
      <c r="C21" s="108"/>
      <c r="D21" s="108"/>
      <c r="E21" s="102"/>
      <c r="F21" s="195"/>
      <c r="G21" s="195"/>
      <c r="H21" s="186"/>
      <c r="I21" s="27"/>
      <c r="J21" s="27"/>
      <c r="K21" s="27"/>
      <c r="L21" s="27"/>
    </row>
    <row r="22">
      <c r="A22" s="174" t="s">
        <v>420</v>
      </c>
      <c r="B22" s="150"/>
      <c r="C22" s="105">
        <v>3700.0</v>
      </c>
      <c r="D22" s="145"/>
      <c r="E22" s="174" t="s">
        <v>421</v>
      </c>
      <c r="F22" s="196"/>
      <c r="G22" s="197" t="s">
        <v>422</v>
      </c>
      <c r="H22" s="150"/>
      <c r="I22" s="27"/>
      <c r="J22" s="27"/>
      <c r="K22" s="27"/>
      <c r="L22" s="27"/>
    </row>
    <row r="23">
      <c r="A23" s="174" t="s">
        <v>420</v>
      </c>
      <c r="B23" s="27"/>
      <c r="C23" s="105">
        <v>3700.0</v>
      </c>
      <c r="D23" s="145"/>
      <c r="E23" s="174" t="s">
        <v>421</v>
      </c>
      <c r="F23" s="196"/>
      <c r="G23" s="197" t="s">
        <v>422</v>
      </c>
      <c r="H23" s="150"/>
      <c r="I23" s="27"/>
      <c r="J23" s="27"/>
      <c r="K23" s="27"/>
      <c r="L23" s="27"/>
    </row>
    <row r="24">
      <c r="A24" s="185" t="s">
        <v>423</v>
      </c>
      <c r="B24" s="102"/>
      <c r="C24" s="108"/>
      <c r="D24" s="108"/>
      <c r="E24" s="186"/>
      <c r="F24" s="188"/>
      <c r="G24" s="195"/>
      <c r="H24" s="186"/>
      <c r="I24" s="27"/>
      <c r="J24" s="27"/>
      <c r="K24" s="27"/>
      <c r="L24" s="27"/>
    </row>
    <row r="25">
      <c r="A25" s="174" t="s">
        <v>58</v>
      </c>
      <c r="B25" s="175" t="str">
        <f>HYPERLINK("https://my.matterport.com/show/?m=dSNMF6KEeyi","MP Link")</f>
        <v>MP Link</v>
      </c>
      <c r="C25" s="105">
        <v>4050.0</v>
      </c>
      <c r="D25" s="145"/>
      <c r="E25" s="174" t="s">
        <v>424</v>
      </c>
      <c r="F25" s="202"/>
      <c r="G25" s="197" t="s">
        <v>425</v>
      </c>
      <c r="H25" s="150"/>
      <c r="I25" s="27"/>
      <c r="J25" s="27"/>
      <c r="K25" s="27"/>
      <c r="L25" s="27"/>
    </row>
    <row r="26">
      <c r="A26" s="174" t="s">
        <v>426</v>
      </c>
      <c r="B26" s="173" t="str">
        <f>HYPERLINK("https://my.matterport.com/show/?m=71VTLCfv4nP","MP Link")</f>
        <v>MP Link</v>
      </c>
      <c r="C26" s="105">
        <v>4100.0</v>
      </c>
      <c r="D26" s="145"/>
      <c r="E26" s="106" t="s">
        <v>424</v>
      </c>
      <c r="F26" s="35"/>
      <c r="G26" s="197" t="s">
        <v>425</v>
      </c>
      <c r="H26" s="150"/>
      <c r="I26" s="27"/>
      <c r="J26" s="27"/>
      <c r="K26" s="27"/>
      <c r="L26" s="27"/>
    </row>
    <row r="27">
      <c r="A27" s="190" t="s">
        <v>427</v>
      </c>
      <c r="B27" s="191"/>
      <c r="C27" s="112">
        <v>5400.0</v>
      </c>
      <c r="D27" s="192"/>
      <c r="E27" s="190" t="s">
        <v>428</v>
      </c>
      <c r="F27" s="203"/>
      <c r="G27" s="200" t="s">
        <v>418</v>
      </c>
      <c r="H27" s="191"/>
      <c r="I27" s="27"/>
      <c r="J27" s="27"/>
      <c r="K27" s="27"/>
      <c r="L27" s="27"/>
    </row>
    <row r="28">
      <c r="A28" s="190" t="s">
        <v>429</v>
      </c>
      <c r="B28" s="204" t="str">
        <f>HYPERLINK("https://my.matterport.com/show/?m=L5iHh4hiDGf","Activate Matterport")</f>
        <v>Activate Matterport</v>
      </c>
      <c r="C28" s="112">
        <v>4100.0</v>
      </c>
      <c r="D28" s="192"/>
      <c r="E28" s="113" t="s">
        <v>424</v>
      </c>
      <c r="F28" s="205"/>
      <c r="G28" s="200" t="s">
        <v>425</v>
      </c>
      <c r="H28" s="191"/>
      <c r="I28" s="27"/>
      <c r="J28" s="27"/>
      <c r="K28" s="27"/>
      <c r="L28" s="27"/>
    </row>
    <row r="29">
      <c r="A29" s="190" t="s">
        <v>430</v>
      </c>
      <c r="B29" s="204" t="str">
        <f>HYPERLINK("https://my.matterport.com/show/?m=YtfJ1Bfob6y","Activate Matterport")</f>
        <v>Activate Matterport</v>
      </c>
      <c r="C29" s="112">
        <v>4100.0</v>
      </c>
      <c r="D29" s="192"/>
      <c r="E29" s="190" t="s">
        <v>424</v>
      </c>
      <c r="F29" s="203"/>
      <c r="G29" s="200" t="s">
        <v>425</v>
      </c>
      <c r="H29" s="111"/>
      <c r="I29" s="27"/>
      <c r="J29" s="27"/>
      <c r="K29" s="27"/>
      <c r="L29" s="27"/>
    </row>
    <row r="30">
      <c r="A30" s="190" t="s">
        <v>212</v>
      </c>
      <c r="B30" s="191"/>
      <c r="C30" s="112">
        <v>4050.0</v>
      </c>
      <c r="D30" s="192"/>
      <c r="E30" s="190" t="s">
        <v>424</v>
      </c>
      <c r="F30" s="127"/>
      <c r="G30" s="200" t="s">
        <v>418</v>
      </c>
      <c r="H30" s="191"/>
      <c r="I30" s="27"/>
      <c r="J30" s="150"/>
      <c r="K30" s="27"/>
      <c r="L30" s="27"/>
    </row>
    <row r="31">
      <c r="A31" s="185" t="s">
        <v>431</v>
      </c>
      <c r="B31" s="186"/>
      <c r="C31" s="108"/>
      <c r="D31" s="108"/>
      <c r="E31" s="102"/>
      <c r="F31" s="118"/>
      <c r="G31" s="195"/>
      <c r="H31" s="186"/>
      <c r="I31" s="27"/>
      <c r="J31" s="27"/>
      <c r="K31" s="27"/>
      <c r="L31" s="27"/>
    </row>
    <row r="32">
      <c r="A32" s="206">
        <v>7.0</v>
      </c>
      <c r="B32" s="207" t="str">
        <f>HYPERLINK("https://my.matterport.com/show/?m=rRTB7mhsP89","Review Matterport")</f>
        <v>Review Matterport</v>
      </c>
      <c r="C32" s="105">
        <v>4000.0</v>
      </c>
      <c r="D32" s="145"/>
      <c r="E32" s="174" t="s">
        <v>432</v>
      </c>
      <c r="F32" s="196"/>
      <c r="G32" s="197" t="s">
        <v>433</v>
      </c>
      <c r="H32" s="27"/>
      <c r="I32" s="27"/>
      <c r="J32" s="27"/>
      <c r="K32" s="27"/>
      <c r="L32" s="27"/>
    </row>
    <row r="33">
      <c r="A33" s="185" t="s">
        <v>434</v>
      </c>
      <c r="B33" s="102"/>
      <c r="C33" s="108"/>
      <c r="D33" s="108"/>
      <c r="E33" s="186"/>
      <c r="F33" s="118"/>
      <c r="G33" s="195"/>
      <c r="H33" s="186"/>
      <c r="I33" s="27"/>
      <c r="J33" s="27"/>
      <c r="K33" s="27"/>
      <c r="L33" s="27"/>
    </row>
    <row r="34">
      <c r="A34" s="174" t="s">
        <v>327</v>
      </c>
      <c r="B34" s="175" t="str">
        <f>HYPERLINK("https://my.matterport.com/show/?m=Z3QvnZGFpa7","MP Link")</f>
        <v>MP Link</v>
      </c>
      <c r="C34" s="105">
        <v>4300.0</v>
      </c>
      <c r="D34" s="145"/>
      <c r="E34" s="174" t="s">
        <v>300</v>
      </c>
      <c r="F34" s="208" t="s">
        <v>396</v>
      </c>
      <c r="G34" s="209" t="s">
        <v>435</v>
      </c>
      <c r="H34" s="150"/>
      <c r="I34" s="27"/>
      <c r="J34" s="27"/>
      <c r="K34" s="27"/>
      <c r="L34" s="27"/>
    </row>
    <row r="35">
      <c r="A35" s="174" t="s">
        <v>436</v>
      </c>
      <c r="B35" s="173" t="str">
        <f>HYPERLINK("https://my.matterport.com/show/?m=32Ujaex5D1d","MP Link")</f>
        <v>MP Link</v>
      </c>
      <c r="C35" s="105">
        <v>4300.0</v>
      </c>
      <c r="D35" s="145"/>
      <c r="E35" s="174" t="s">
        <v>300</v>
      </c>
      <c r="F35" s="197" t="s">
        <v>396</v>
      </c>
      <c r="G35" s="209" t="s">
        <v>435</v>
      </c>
      <c r="H35" s="174" t="s">
        <v>361</v>
      </c>
      <c r="I35" s="27"/>
      <c r="J35" s="27"/>
      <c r="K35" s="27"/>
      <c r="L35" s="27"/>
    </row>
    <row r="36">
      <c r="A36" s="174" t="s">
        <v>437</v>
      </c>
      <c r="B36" s="150"/>
      <c r="C36" s="105">
        <v>4300.0</v>
      </c>
      <c r="D36" s="145"/>
      <c r="E36" s="106" t="s">
        <v>300</v>
      </c>
      <c r="F36" s="208" t="s">
        <v>396</v>
      </c>
      <c r="G36" s="209" t="s">
        <v>438</v>
      </c>
      <c r="H36" s="174" t="s">
        <v>361</v>
      </c>
      <c r="I36" s="27"/>
      <c r="J36" s="27"/>
      <c r="K36" s="27"/>
      <c r="L36" s="27"/>
    </row>
    <row r="37" ht="15.0" customHeight="1">
      <c r="A37" s="106" t="s">
        <v>209</v>
      </c>
      <c r="B37" s="27"/>
      <c r="C37" s="105">
        <v>4300.0</v>
      </c>
      <c r="D37" s="145"/>
      <c r="E37" s="106" t="s">
        <v>300</v>
      </c>
      <c r="F37" s="197" t="s">
        <v>396</v>
      </c>
      <c r="G37" s="106" t="s">
        <v>439</v>
      </c>
      <c r="H37" s="106" t="s">
        <v>361</v>
      </c>
      <c r="I37" s="27"/>
      <c r="J37" s="27"/>
    </row>
    <row r="38">
      <c r="A38" s="106" t="s">
        <v>31</v>
      </c>
      <c r="B38" s="150"/>
      <c r="C38" s="105">
        <v>4300.0</v>
      </c>
      <c r="D38" s="145"/>
      <c r="E38" s="106" t="s">
        <v>300</v>
      </c>
      <c r="F38" s="197" t="s">
        <v>396</v>
      </c>
      <c r="G38" s="106" t="s">
        <v>439</v>
      </c>
      <c r="H38" s="27"/>
      <c r="I38" s="27"/>
      <c r="J38" s="27"/>
    </row>
    <row r="39">
      <c r="A39" s="174" t="s">
        <v>273</v>
      </c>
      <c r="B39" s="27"/>
      <c r="C39" s="105">
        <v>4300.0</v>
      </c>
      <c r="D39" s="145"/>
      <c r="E39" s="174" t="s">
        <v>300</v>
      </c>
      <c r="F39" s="198">
        <v>46206.0</v>
      </c>
      <c r="G39" s="197" t="s">
        <v>439</v>
      </c>
      <c r="H39" s="150"/>
      <c r="I39" s="27"/>
      <c r="J39" s="27"/>
      <c r="K39" s="27"/>
      <c r="L39" s="27"/>
    </row>
    <row r="40">
      <c r="A40" s="174" t="s">
        <v>440</v>
      </c>
      <c r="B40" s="27"/>
      <c r="C40" s="105">
        <v>4300.0</v>
      </c>
      <c r="D40" s="145"/>
      <c r="E40" s="106" t="s">
        <v>300</v>
      </c>
      <c r="F40" s="210" t="s">
        <v>396</v>
      </c>
      <c r="G40" s="197" t="s">
        <v>435</v>
      </c>
      <c r="H40" s="174" t="s">
        <v>361</v>
      </c>
      <c r="I40" s="27"/>
      <c r="J40" s="27"/>
      <c r="K40" s="27"/>
      <c r="L40" s="27"/>
    </row>
    <row r="41">
      <c r="A41" s="190" t="s">
        <v>427</v>
      </c>
      <c r="B41" s="211" t="str">
        <f>HYPERLINK("https://my.matterport.com/show/?m=qUyVC4Ahjzf","Activate Matterport")</f>
        <v>Activate Matterport</v>
      </c>
      <c r="C41" s="112">
        <v>4300.0</v>
      </c>
      <c r="D41" s="192"/>
      <c r="E41" s="190" t="s">
        <v>300</v>
      </c>
      <c r="F41" s="199">
        <v>46266.0</v>
      </c>
      <c r="G41" s="200" t="s">
        <v>405</v>
      </c>
      <c r="H41" s="191"/>
      <c r="I41" s="27"/>
      <c r="J41" s="27"/>
      <c r="K41" s="27"/>
      <c r="L41" s="27"/>
    </row>
    <row r="42">
      <c r="A42" s="190" t="s">
        <v>316</v>
      </c>
      <c r="B42" s="180" t="str">
        <f>HYPERLINK("https://my.matterport.com/show/?m=UJbKkcXJXan","Matterport")</f>
        <v>Matterport</v>
      </c>
      <c r="C42" s="112">
        <v>4100.0</v>
      </c>
      <c r="D42" s="192"/>
      <c r="E42" s="113" t="s">
        <v>116</v>
      </c>
      <c r="F42" s="199">
        <v>46217.0</v>
      </c>
      <c r="G42" s="200" t="s">
        <v>405</v>
      </c>
      <c r="H42" s="191"/>
      <c r="I42" s="27"/>
      <c r="J42" s="27"/>
      <c r="K42" s="27"/>
      <c r="L42" s="27"/>
    </row>
    <row r="43">
      <c r="A43" s="190" t="s">
        <v>441</v>
      </c>
      <c r="B43" s="191"/>
      <c r="C43" s="112">
        <v>4300.0</v>
      </c>
      <c r="D43" s="192"/>
      <c r="E43" s="190" t="s">
        <v>300</v>
      </c>
      <c r="F43" s="199">
        <v>46266.0</v>
      </c>
      <c r="G43" s="200" t="s">
        <v>405</v>
      </c>
      <c r="H43" s="111"/>
      <c r="I43" s="27"/>
      <c r="J43" s="27"/>
      <c r="K43" s="27"/>
      <c r="L43" s="27"/>
    </row>
    <row r="44">
      <c r="A44" s="190" t="s">
        <v>442</v>
      </c>
      <c r="B44" s="212" t="str">
        <f>HYPERLINK("https://my.matterport.com/show/?m=xf5kyMcspds","Matterport")</f>
        <v>Matterport</v>
      </c>
      <c r="C44" s="112">
        <v>4050.0</v>
      </c>
      <c r="D44" s="192"/>
      <c r="E44" s="190" t="s">
        <v>443</v>
      </c>
      <c r="F44" s="200" t="s">
        <v>396</v>
      </c>
      <c r="G44" s="200" t="s">
        <v>444</v>
      </c>
      <c r="H44" s="191"/>
      <c r="I44" s="27"/>
      <c r="J44" s="27"/>
      <c r="K44" s="27"/>
      <c r="L44" s="27"/>
    </row>
    <row r="45">
      <c r="A45" s="190" t="s">
        <v>445</v>
      </c>
      <c r="B45" s="191"/>
      <c r="C45" s="112">
        <v>4300.0</v>
      </c>
      <c r="D45" s="192"/>
      <c r="E45" s="190" t="s">
        <v>300</v>
      </c>
      <c r="F45" s="200" t="s">
        <v>396</v>
      </c>
      <c r="G45" s="200" t="s">
        <v>435</v>
      </c>
      <c r="H45" s="191"/>
      <c r="I45" s="27"/>
      <c r="J45" s="27"/>
      <c r="K45" s="27"/>
      <c r="L45" s="27"/>
    </row>
    <row r="46">
      <c r="A46" s="190" t="s">
        <v>446</v>
      </c>
      <c r="B46" s="204" t="str">
        <f>HYPERLINK("https://my.matterport.com/show/?m=hHiFPs7WFpo","Activate Matterport")</f>
        <v>Activate Matterport</v>
      </c>
      <c r="C46" s="112">
        <v>4100.0</v>
      </c>
      <c r="D46" s="192"/>
      <c r="E46" s="190" t="s">
        <v>116</v>
      </c>
      <c r="F46" s="200" t="s">
        <v>396</v>
      </c>
      <c r="G46" s="200" t="s">
        <v>439</v>
      </c>
      <c r="H46" s="191"/>
      <c r="I46" s="27"/>
      <c r="J46" s="27"/>
      <c r="K46" s="27"/>
      <c r="L46" s="27"/>
    </row>
    <row r="47">
      <c r="A47" s="185" t="s">
        <v>447</v>
      </c>
      <c r="B47" s="186"/>
      <c r="C47" s="108"/>
      <c r="D47" s="108"/>
      <c r="E47" s="186"/>
      <c r="F47" s="195"/>
      <c r="G47" s="195"/>
      <c r="H47" s="102"/>
      <c r="I47" s="27"/>
      <c r="J47" s="27"/>
      <c r="K47" s="27"/>
      <c r="L47" s="27"/>
    </row>
    <row r="48">
      <c r="A48" s="190" t="s">
        <v>102</v>
      </c>
      <c r="B48" s="211" t="str">
        <f>HYPERLINK("https://my.matterport.com/show/?m=KmgMJSw1LCd","Activate Matterport")</f>
        <v>Activate Matterport</v>
      </c>
      <c r="C48" s="112">
        <v>6000.0</v>
      </c>
      <c r="D48" s="192"/>
      <c r="E48" s="190" t="s">
        <v>448</v>
      </c>
      <c r="F48" s="200" t="s">
        <v>396</v>
      </c>
      <c r="G48" s="200" t="s">
        <v>449</v>
      </c>
      <c r="H48" s="191"/>
      <c r="I48" s="27"/>
      <c r="J48" s="27"/>
      <c r="K48" s="27"/>
      <c r="L48" s="27"/>
    </row>
    <row r="49">
      <c r="A49" s="185" t="s">
        <v>450</v>
      </c>
      <c r="B49" s="102"/>
      <c r="C49" s="108"/>
      <c r="D49" s="108"/>
      <c r="E49" s="186"/>
      <c r="F49" s="195"/>
      <c r="G49" s="195"/>
      <c r="H49" s="186"/>
      <c r="I49" s="27"/>
      <c r="J49" s="27"/>
      <c r="K49" s="27"/>
      <c r="L49" s="27"/>
    </row>
    <row r="50">
      <c r="A50" s="174" t="s">
        <v>451</v>
      </c>
      <c r="B50" s="150"/>
      <c r="C50" s="105">
        <v>7600.0</v>
      </c>
      <c r="D50" s="145"/>
      <c r="E50" s="174" t="s">
        <v>452</v>
      </c>
      <c r="F50" s="196"/>
      <c r="G50" s="197" t="s">
        <v>453</v>
      </c>
      <c r="H50" s="150"/>
      <c r="I50" s="27"/>
      <c r="J50" s="27"/>
      <c r="K50" s="27"/>
      <c r="L50" s="27"/>
    </row>
    <row r="51">
      <c r="A51" s="190" t="s">
        <v>454</v>
      </c>
      <c r="B51" s="191"/>
      <c r="C51" s="112">
        <v>4200.0</v>
      </c>
      <c r="D51" s="192"/>
      <c r="E51" s="113" t="s">
        <v>200</v>
      </c>
      <c r="F51" s="203"/>
      <c r="G51" s="200" t="s">
        <v>455</v>
      </c>
      <c r="H51" s="111"/>
      <c r="I51" s="27"/>
      <c r="J51" s="27"/>
      <c r="K51" s="27"/>
      <c r="L51" s="27"/>
    </row>
    <row r="52">
      <c r="A52" s="190" t="s">
        <v>456</v>
      </c>
      <c r="B52" s="204" t="str">
        <f>HYPERLINK("https://my.matterport.com/show/?m=CvHNEnq2Vv3","Activate Matterport")</f>
        <v>Activate Matterport</v>
      </c>
      <c r="C52" s="112">
        <v>4400.0</v>
      </c>
      <c r="D52" s="192"/>
      <c r="E52" s="190" t="s">
        <v>200</v>
      </c>
      <c r="F52" s="201"/>
      <c r="G52" s="200" t="s">
        <v>457</v>
      </c>
      <c r="H52" s="191"/>
      <c r="I52" s="27"/>
      <c r="J52" s="27"/>
      <c r="K52" s="27"/>
      <c r="L52" s="27"/>
    </row>
    <row r="53">
      <c r="A53" s="185" t="s">
        <v>458</v>
      </c>
      <c r="B53" s="102"/>
      <c r="C53" s="108"/>
      <c r="D53" s="108"/>
      <c r="E53" s="102"/>
      <c r="F53" s="195"/>
      <c r="G53" s="195"/>
      <c r="H53" s="186"/>
      <c r="I53" s="27"/>
      <c r="J53" s="27"/>
      <c r="K53" s="27"/>
      <c r="L53" s="27"/>
    </row>
    <row r="54">
      <c r="A54" s="174" t="s">
        <v>459</v>
      </c>
      <c r="B54" s="173" t="str">
        <f>HYPERLINK("https://my.matterport.com/show/?m=W3s1GUQr8fT","MP Link")</f>
        <v>MP Link</v>
      </c>
      <c r="C54" s="105">
        <v>8300.0</v>
      </c>
      <c r="D54" s="145"/>
      <c r="E54" s="174" t="s">
        <v>460</v>
      </c>
      <c r="F54" s="213" t="s">
        <v>396</v>
      </c>
      <c r="G54" s="197" t="s">
        <v>461</v>
      </c>
      <c r="H54" s="27"/>
      <c r="I54" s="27"/>
      <c r="J54" s="27"/>
      <c r="K54" s="27"/>
      <c r="L54" s="27"/>
    </row>
    <row r="55">
      <c r="A55" s="190" t="s">
        <v>281</v>
      </c>
      <c r="B55" s="191"/>
      <c r="C55" s="112">
        <v>8000.0</v>
      </c>
      <c r="D55" s="192"/>
      <c r="E55" s="190" t="s">
        <v>452</v>
      </c>
      <c r="F55" s="214">
        <v>46266.0</v>
      </c>
      <c r="G55" s="200" t="s">
        <v>405</v>
      </c>
      <c r="H55" s="111"/>
      <c r="I55" s="27"/>
      <c r="J55" s="27"/>
      <c r="K55" s="27"/>
      <c r="L55" s="27"/>
    </row>
    <row r="56">
      <c r="A56" s="185" t="s">
        <v>462</v>
      </c>
      <c r="B56" s="186"/>
      <c r="C56" s="108"/>
      <c r="D56" s="108"/>
      <c r="E56" s="102"/>
      <c r="F56" s="187"/>
      <c r="G56" s="187"/>
      <c r="H56" s="186"/>
      <c r="I56" s="27"/>
      <c r="J56" s="27"/>
      <c r="K56" s="27"/>
      <c r="L56" s="27"/>
    </row>
    <row r="57">
      <c r="A57" s="190" t="s">
        <v>197</v>
      </c>
      <c r="B57" s="191"/>
      <c r="C57" s="112">
        <v>4000.0</v>
      </c>
      <c r="D57" s="192"/>
      <c r="E57" s="190" t="s">
        <v>116</v>
      </c>
      <c r="F57" s="199">
        <v>46266.0</v>
      </c>
      <c r="G57" s="200" t="s">
        <v>405</v>
      </c>
      <c r="H57" s="191"/>
      <c r="I57" s="27"/>
      <c r="J57" s="27"/>
      <c r="K57" s="27"/>
      <c r="L57" s="27"/>
    </row>
    <row r="58">
      <c r="A58" s="185" t="s">
        <v>463</v>
      </c>
      <c r="B58" s="186"/>
      <c r="C58" s="108"/>
      <c r="D58" s="108"/>
      <c r="E58" s="186"/>
      <c r="F58" s="118"/>
      <c r="G58" s="195"/>
      <c r="H58" s="102"/>
      <c r="I58" s="27"/>
      <c r="J58" s="27"/>
      <c r="K58" s="27"/>
      <c r="L58" s="27"/>
    </row>
    <row r="59">
      <c r="A59" s="174" t="s">
        <v>202</v>
      </c>
      <c r="B59" s="175" t="str">
        <f>HYPERLINK("https://my.matterport.com/show/?m=NYz1m9ezarh","MP Link")</f>
        <v>MP Link</v>
      </c>
      <c r="C59" s="105">
        <v>5800.0</v>
      </c>
      <c r="D59" s="145"/>
      <c r="E59" s="174" t="s">
        <v>300</v>
      </c>
      <c r="F59" s="208" t="s">
        <v>396</v>
      </c>
      <c r="G59" s="197" t="s">
        <v>464</v>
      </c>
      <c r="H59" s="150"/>
      <c r="I59" s="27"/>
      <c r="J59" s="27"/>
      <c r="K59" s="27"/>
      <c r="L59" s="27"/>
    </row>
    <row r="60">
      <c r="A60" s="185" t="s">
        <v>465</v>
      </c>
      <c r="B60" s="102"/>
      <c r="C60" s="108"/>
      <c r="D60" s="108"/>
      <c r="E60" s="102"/>
      <c r="F60" s="195"/>
      <c r="G60" s="187"/>
      <c r="H60" s="186"/>
      <c r="I60" s="27"/>
      <c r="J60" s="27"/>
      <c r="K60" s="27"/>
      <c r="L60" s="27"/>
    </row>
    <row r="61">
      <c r="A61" s="174" t="s">
        <v>466</v>
      </c>
      <c r="B61" s="175" t="str">
        <f>HYPERLINK("https://my.matterport.com/show/?m=2ogf5bBFkHY","MP Link")</f>
        <v>MP Link</v>
      </c>
      <c r="C61" s="105">
        <v>4700.0</v>
      </c>
      <c r="D61" s="145"/>
      <c r="E61" s="106" t="s">
        <v>467</v>
      </c>
      <c r="F61" s="213" t="s">
        <v>396</v>
      </c>
      <c r="G61" s="184" t="s">
        <v>468</v>
      </c>
      <c r="H61" s="150"/>
      <c r="I61" s="27"/>
      <c r="J61" s="27"/>
      <c r="K61" s="27"/>
      <c r="L61" s="27"/>
    </row>
    <row r="62">
      <c r="A62" s="174" t="s">
        <v>404</v>
      </c>
      <c r="B62" s="175" t="str">
        <f>HYPERLINK("https://my.matterport.com/show/?m=uQWai86Fow8","Matterport")</f>
        <v>Matterport</v>
      </c>
      <c r="C62" s="105">
        <v>8700.0</v>
      </c>
      <c r="D62" s="145"/>
      <c r="E62" s="106" t="s">
        <v>469</v>
      </c>
      <c r="F62" s="189">
        <v>46235.0</v>
      </c>
      <c r="G62" s="184" t="s">
        <v>405</v>
      </c>
      <c r="H62" s="27"/>
      <c r="I62" s="27"/>
      <c r="J62" s="27"/>
      <c r="K62" s="27"/>
      <c r="L62" s="27"/>
    </row>
    <row r="63">
      <c r="A63" s="190" t="s">
        <v>470</v>
      </c>
      <c r="B63" s="111"/>
      <c r="C63" s="112">
        <v>6100.0</v>
      </c>
      <c r="D63" s="192"/>
      <c r="E63" s="113" t="s">
        <v>240</v>
      </c>
      <c r="F63" s="194">
        <v>46218.0</v>
      </c>
      <c r="G63" s="215" t="s">
        <v>471</v>
      </c>
      <c r="H63" s="191"/>
      <c r="I63" s="27"/>
      <c r="J63" s="27"/>
      <c r="K63" s="27"/>
      <c r="L63" s="27"/>
    </row>
    <row r="64">
      <c r="A64" s="190" t="s">
        <v>472</v>
      </c>
      <c r="B64" s="191"/>
      <c r="C64" s="112">
        <v>17500.0</v>
      </c>
      <c r="D64" s="192"/>
      <c r="E64" s="190" t="s">
        <v>473</v>
      </c>
      <c r="F64" s="216" t="s">
        <v>396</v>
      </c>
      <c r="G64" s="193" t="s">
        <v>474</v>
      </c>
      <c r="H64" s="191"/>
      <c r="I64" s="27"/>
      <c r="J64" s="27"/>
      <c r="K64" s="27"/>
      <c r="L64" s="27"/>
    </row>
    <row r="65">
      <c r="A65" s="185" t="s">
        <v>475</v>
      </c>
      <c r="B65" s="102"/>
      <c r="C65" s="108"/>
      <c r="D65" s="108"/>
      <c r="E65" s="186"/>
      <c r="F65" s="195"/>
      <c r="G65" s="187"/>
      <c r="H65" s="102"/>
      <c r="I65" s="27"/>
      <c r="J65" s="27"/>
      <c r="K65" s="27"/>
      <c r="L65" s="27"/>
    </row>
    <row r="66">
      <c r="A66" s="174" t="s">
        <v>442</v>
      </c>
      <c r="B66" s="150"/>
      <c r="C66" s="105">
        <v>4400.0</v>
      </c>
      <c r="D66" s="145"/>
      <c r="E66" s="174" t="s">
        <v>300</v>
      </c>
      <c r="F66" s="217"/>
      <c r="G66" s="184" t="s">
        <v>476</v>
      </c>
      <c r="H66" s="150"/>
      <c r="I66" s="27"/>
      <c r="J66" s="27"/>
      <c r="K66" s="27"/>
      <c r="L66" s="27"/>
    </row>
    <row r="67">
      <c r="A67" s="185" t="s">
        <v>477</v>
      </c>
      <c r="B67" s="102"/>
      <c r="C67" s="218"/>
      <c r="D67" s="218"/>
      <c r="E67" s="102"/>
      <c r="F67" s="219"/>
      <c r="G67" s="195"/>
      <c r="H67" s="186"/>
      <c r="I67" s="27"/>
      <c r="J67" s="27"/>
      <c r="K67" s="27"/>
      <c r="L67" s="27"/>
    </row>
    <row r="68">
      <c r="A68" s="174" t="s">
        <v>110</v>
      </c>
      <c r="B68" s="175" t="str">
        <f>HYPERLINK("https://my.matterport.com/show/?m=okcAmsCH5We","MP Link")</f>
        <v>MP Link</v>
      </c>
      <c r="C68" s="105">
        <v>4000.0</v>
      </c>
      <c r="D68" s="145"/>
      <c r="E68" s="174" t="s">
        <v>116</v>
      </c>
      <c r="F68" s="209" t="s">
        <v>396</v>
      </c>
      <c r="G68" s="197" t="s">
        <v>478</v>
      </c>
      <c r="H68" s="150"/>
      <c r="I68" s="27"/>
      <c r="J68" s="27"/>
      <c r="K68" s="27"/>
      <c r="L68" s="27"/>
    </row>
    <row r="69">
      <c r="A69" s="190" t="s">
        <v>209</v>
      </c>
      <c r="B69" s="111"/>
      <c r="C69" s="112">
        <v>3950.0</v>
      </c>
      <c r="D69" s="192"/>
      <c r="E69" s="190" t="s">
        <v>116</v>
      </c>
      <c r="F69" s="199">
        <v>46266.0</v>
      </c>
      <c r="G69" s="215" t="s">
        <v>405</v>
      </c>
      <c r="H69" s="191"/>
      <c r="I69" s="27"/>
      <c r="J69" s="27"/>
      <c r="K69" s="27"/>
      <c r="L69" s="27"/>
    </row>
    <row r="70">
      <c r="A70" s="190" t="s">
        <v>479</v>
      </c>
      <c r="B70" s="204" t="str">
        <f>HYPERLINK("https://my.matterport.com/show/?m=w6Q9apSH4Sn","Activate Matterport")</f>
        <v>Activate Matterport</v>
      </c>
      <c r="C70" s="112">
        <v>3950.0</v>
      </c>
      <c r="D70" s="192"/>
      <c r="E70" s="190" t="s">
        <v>116</v>
      </c>
      <c r="F70" s="199">
        <v>46296.0</v>
      </c>
      <c r="G70" s="215" t="s">
        <v>405</v>
      </c>
      <c r="H70" s="191"/>
      <c r="I70" s="27"/>
      <c r="J70" s="27"/>
      <c r="K70" s="27"/>
      <c r="L70" s="27"/>
    </row>
    <row r="71">
      <c r="A71" s="190" t="s">
        <v>480</v>
      </c>
      <c r="B71" s="111"/>
      <c r="C71" s="112">
        <v>4000.0</v>
      </c>
      <c r="D71" s="192"/>
      <c r="E71" s="113" t="s">
        <v>481</v>
      </c>
      <c r="F71" s="201"/>
      <c r="G71" s="220" t="s">
        <v>482</v>
      </c>
      <c r="H71" s="111"/>
      <c r="I71" s="27"/>
      <c r="J71" s="27"/>
      <c r="K71" s="27"/>
      <c r="L71" s="27"/>
    </row>
    <row r="72">
      <c r="A72" s="185" t="s">
        <v>483</v>
      </c>
      <c r="B72" s="102"/>
      <c r="C72" s="108"/>
      <c r="D72" s="108"/>
      <c r="E72" s="186"/>
      <c r="F72" s="118"/>
      <c r="G72" s="187"/>
      <c r="H72" s="102"/>
      <c r="I72" s="27"/>
      <c r="J72" s="27"/>
      <c r="K72" s="27"/>
      <c r="L72" s="27"/>
    </row>
    <row r="73">
      <c r="A73" s="174" t="s">
        <v>231</v>
      </c>
      <c r="B73" s="150"/>
      <c r="C73" s="105">
        <v>5800.0</v>
      </c>
      <c r="D73" s="145"/>
      <c r="E73" s="174" t="s">
        <v>484</v>
      </c>
      <c r="F73" s="213" t="s">
        <v>396</v>
      </c>
      <c r="G73" s="184" t="s">
        <v>485</v>
      </c>
      <c r="H73" s="27"/>
      <c r="I73" s="27"/>
      <c r="J73" s="27"/>
      <c r="K73" s="27"/>
      <c r="L73" s="27"/>
    </row>
    <row r="74">
      <c r="A74" s="174" t="s">
        <v>426</v>
      </c>
      <c r="B74" s="150"/>
      <c r="C74" s="105">
        <v>4400.0</v>
      </c>
      <c r="D74" s="145"/>
      <c r="E74" s="174" t="s">
        <v>408</v>
      </c>
      <c r="F74" s="197" t="s">
        <v>396</v>
      </c>
      <c r="G74" s="184" t="s">
        <v>485</v>
      </c>
      <c r="H74" s="27"/>
      <c r="I74" s="27"/>
      <c r="J74" s="27"/>
      <c r="K74" s="27"/>
      <c r="L74" s="27"/>
    </row>
    <row r="75">
      <c r="A75" s="174" t="s">
        <v>241</v>
      </c>
      <c r="B75" s="27"/>
      <c r="C75" s="105">
        <v>6800.0</v>
      </c>
      <c r="D75" s="145"/>
      <c r="E75" s="174" t="s">
        <v>240</v>
      </c>
      <c r="F75" s="208" t="s">
        <v>396</v>
      </c>
      <c r="G75" s="197" t="s">
        <v>485</v>
      </c>
      <c r="H75" s="150"/>
      <c r="I75" s="27"/>
      <c r="J75" s="27"/>
      <c r="K75" s="27"/>
      <c r="L75" s="27"/>
    </row>
    <row r="76">
      <c r="A76" s="174" t="s">
        <v>451</v>
      </c>
      <c r="B76" s="150"/>
      <c r="C76" s="105">
        <v>4400.0</v>
      </c>
      <c r="D76" s="145"/>
      <c r="E76" s="106" t="s">
        <v>486</v>
      </c>
      <c r="F76" s="197" t="s">
        <v>396</v>
      </c>
      <c r="G76" s="197" t="s">
        <v>485</v>
      </c>
      <c r="H76" s="150"/>
      <c r="I76" s="27"/>
      <c r="J76" s="27"/>
      <c r="K76" s="27"/>
      <c r="L76" s="27"/>
    </row>
    <row r="77">
      <c r="A77" s="185" t="s">
        <v>487</v>
      </c>
      <c r="B77" s="102"/>
      <c r="C77" s="108"/>
      <c r="D77" s="108"/>
      <c r="E77" s="186"/>
      <c r="F77" s="195"/>
      <c r="G77" s="195"/>
      <c r="H77" s="186"/>
      <c r="I77" s="27"/>
      <c r="J77" s="27"/>
      <c r="K77" s="27"/>
      <c r="L77" s="27"/>
    </row>
    <row r="78">
      <c r="A78" s="174" t="s">
        <v>68</v>
      </c>
      <c r="B78" s="173" t="str">
        <f>HYPERLINK("https://my.matterport.com/show/?m=PCFdvfe8Wqq","MP Link")</f>
        <v>MP Link</v>
      </c>
      <c r="C78" s="105">
        <v>4200.0</v>
      </c>
      <c r="D78" s="145"/>
      <c r="E78" s="174" t="s">
        <v>300</v>
      </c>
      <c r="F78" s="197" t="s">
        <v>396</v>
      </c>
      <c r="G78" s="209" t="s">
        <v>488</v>
      </c>
      <c r="H78" s="150"/>
      <c r="I78" s="27"/>
      <c r="J78" s="27"/>
      <c r="K78" s="27"/>
      <c r="L78" s="27"/>
    </row>
    <row r="79">
      <c r="A79" s="185" t="s">
        <v>489</v>
      </c>
      <c r="B79" s="102"/>
      <c r="C79" s="108"/>
      <c r="D79" s="108"/>
      <c r="E79" s="102"/>
      <c r="F79" s="195"/>
      <c r="G79" s="221"/>
      <c r="H79" s="186"/>
      <c r="I79" s="27"/>
      <c r="J79" s="27"/>
      <c r="K79" s="27"/>
      <c r="L79" s="27"/>
    </row>
    <row r="80">
      <c r="A80" s="174" t="s">
        <v>490</v>
      </c>
      <c r="B80" s="173" t="str">
        <f>HYPERLINK("https://my.matterport.com/show/?m=hvH6yoj5Hge","MP Link")</f>
        <v>MP Link</v>
      </c>
      <c r="C80" s="105">
        <v>4300.0</v>
      </c>
      <c r="D80" s="145"/>
      <c r="E80" s="174" t="s">
        <v>300</v>
      </c>
      <c r="F80" s="197" t="s">
        <v>396</v>
      </c>
      <c r="G80" s="197" t="s">
        <v>491</v>
      </c>
      <c r="H80" s="150"/>
      <c r="I80" s="27"/>
      <c r="J80" s="27"/>
      <c r="K80" s="27"/>
      <c r="L80" s="27"/>
    </row>
    <row r="81">
      <c r="A81" s="185" t="s">
        <v>492</v>
      </c>
      <c r="B81" s="102"/>
      <c r="C81" s="108"/>
      <c r="D81" s="108"/>
      <c r="E81" s="102"/>
      <c r="F81" s="188"/>
      <c r="G81" s="195"/>
      <c r="H81" s="102"/>
      <c r="I81" s="27"/>
      <c r="J81" s="27"/>
      <c r="K81" s="27"/>
      <c r="L81" s="27"/>
    </row>
    <row r="82">
      <c r="A82" s="174" t="s">
        <v>493</v>
      </c>
      <c r="B82" s="175" t="str">
        <f>HYPERLINK("https://my.matterport.com/show/?m=RuNtApJ9oPa","MP Link")</f>
        <v>MP Link</v>
      </c>
      <c r="C82" s="105">
        <v>4300.0</v>
      </c>
      <c r="D82" s="145"/>
      <c r="E82" s="174" t="s">
        <v>200</v>
      </c>
      <c r="F82" s="217"/>
      <c r="G82" s="196"/>
      <c r="H82" s="150"/>
      <c r="I82" s="27"/>
      <c r="J82" s="27"/>
      <c r="K82" s="27"/>
      <c r="L82" s="27"/>
    </row>
    <row r="83">
      <c r="A83" s="190" t="s">
        <v>494</v>
      </c>
      <c r="B83" s="111"/>
      <c r="C83" s="112">
        <v>15000.0</v>
      </c>
      <c r="D83" s="192"/>
      <c r="E83" s="113" t="s">
        <v>495</v>
      </c>
      <c r="F83" s="216" t="s">
        <v>396</v>
      </c>
      <c r="G83" s="200" t="s">
        <v>496</v>
      </c>
      <c r="H83" s="191"/>
      <c r="I83" s="27"/>
      <c r="J83" s="27"/>
      <c r="K83" s="27"/>
      <c r="L83" s="27"/>
    </row>
    <row r="84">
      <c r="A84" s="190" t="s">
        <v>497</v>
      </c>
      <c r="B84" s="191"/>
      <c r="C84" s="112">
        <v>4200.0</v>
      </c>
      <c r="D84" s="192"/>
      <c r="E84" s="190" t="s">
        <v>498</v>
      </c>
      <c r="F84" s="200" t="s">
        <v>396</v>
      </c>
      <c r="G84" s="200" t="s">
        <v>499</v>
      </c>
      <c r="H84" s="191"/>
      <c r="I84" s="27"/>
      <c r="J84" s="27"/>
      <c r="K84" s="27"/>
      <c r="L84" s="27"/>
    </row>
    <row r="85">
      <c r="A85" s="185" t="s">
        <v>500</v>
      </c>
      <c r="B85" s="102"/>
      <c r="C85" s="108"/>
      <c r="D85" s="108"/>
      <c r="E85" s="102"/>
      <c r="F85" s="195"/>
      <c r="G85" s="195"/>
      <c r="H85" s="102"/>
      <c r="I85" s="27"/>
      <c r="J85" s="27"/>
      <c r="K85" s="27"/>
      <c r="L85" s="27"/>
    </row>
    <row r="86">
      <c r="A86" s="174" t="s">
        <v>501</v>
      </c>
      <c r="B86" s="27"/>
      <c r="C86" s="105">
        <v>4650.0</v>
      </c>
      <c r="D86" s="145"/>
      <c r="E86" s="174" t="s">
        <v>502</v>
      </c>
      <c r="F86" s="222">
        <v>46235.0</v>
      </c>
      <c r="G86" s="197" t="s">
        <v>405</v>
      </c>
      <c r="H86" s="27"/>
      <c r="I86" s="27"/>
      <c r="J86" s="27"/>
      <c r="K86" s="27"/>
      <c r="L86" s="27"/>
    </row>
    <row r="87">
      <c r="A87" s="185" t="s">
        <v>503</v>
      </c>
      <c r="B87" s="102"/>
      <c r="C87" s="218"/>
      <c r="D87" s="218"/>
      <c r="E87" s="186"/>
      <c r="F87" s="195"/>
      <c r="G87" s="223"/>
      <c r="H87" s="186"/>
      <c r="I87" s="27"/>
      <c r="J87" s="27"/>
      <c r="K87" s="27"/>
      <c r="L87" s="27"/>
    </row>
    <row r="88">
      <c r="A88" s="174" t="s">
        <v>504</v>
      </c>
      <c r="B88" s="175" t="str">
        <f>HYPERLINK("https://my.matterport.com/show/?m=RS8zG8o7Kq3","MP Link")</f>
        <v>MP Link</v>
      </c>
      <c r="C88" s="105">
        <v>4600.0</v>
      </c>
      <c r="D88" s="145"/>
      <c r="E88" s="174" t="s">
        <v>300</v>
      </c>
      <c r="F88" s="197" t="s">
        <v>396</v>
      </c>
      <c r="G88" s="209" t="s">
        <v>397</v>
      </c>
      <c r="H88" s="106" t="s">
        <v>361</v>
      </c>
      <c r="I88" s="27"/>
      <c r="J88" s="27"/>
      <c r="K88" s="27"/>
      <c r="L88" s="27"/>
    </row>
    <row r="89">
      <c r="A89" s="185" t="s">
        <v>505</v>
      </c>
      <c r="B89" s="102"/>
      <c r="C89" s="218"/>
      <c r="D89" s="218"/>
      <c r="E89" s="102"/>
      <c r="F89" s="118"/>
      <c r="G89" s="195"/>
      <c r="H89" s="186"/>
      <c r="I89" s="27"/>
      <c r="J89" s="27"/>
      <c r="K89" s="27"/>
      <c r="L89" s="27"/>
    </row>
    <row r="90">
      <c r="A90" s="174" t="s">
        <v>133</v>
      </c>
      <c r="B90" s="175" t="str">
        <f>HYPERLINK("https://my.matterport.com/show/?m=KbKnT6v4PRk","MP Link")</f>
        <v>MP Link</v>
      </c>
      <c r="C90" s="105">
        <v>4900.0</v>
      </c>
      <c r="D90" s="145"/>
      <c r="E90" s="174" t="s">
        <v>506</v>
      </c>
      <c r="F90" s="224">
        <v>46235.0</v>
      </c>
      <c r="G90" s="209" t="s">
        <v>507</v>
      </c>
      <c r="H90" s="150"/>
      <c r="I90" s="27"/>
      <c r="J90" s="27"/>
      <c r="K90" s="27"/>
      <c r="L90" s="27"/>
    </row>
    <row r="91">
      <c r="A91" s="174" t="s">
        <v>104</v>
      </c>
      <c r="B91" s="175" t="str">
        <f>HYPERLINK("https://my.matterport.com/show/?m=zjqggQ52UHg","Matterport")</f>
        <v>Matterport</v>
      </c>
      <c r="C91" s="105">
        <v>7200.0</v>
      </c>
      <c r="D91" s="145"/>
      <c r="E91" s="106" t="s">
        <v>508</v>
      </c>
      <c r="F91" s="196"/>
      <c r="G91" s="196"/>
      <c r="H91" s="106" t="s">
        <v>361</v>
      </c>
      <c r="I91" s="27"/>
      <c r="J91" s="27"/>
      <c r="K91" s="27"/>
      <c r="L91" s="27"/>
    </row>
    <row r="92">
      <c r="A92" s="185" t="s">
        <v>509</v>
      </c>
      <c r="B92" s="102"/>
      <c r="C92" s="108"/>
      <c r="D92" s="108"/>
      <c r="E92" s="102"/>
      <c r="F92" s="195"/>
      <c r="G92" s="195"/>
      <c r="H92" s="186"/>
      <c r="I92" s="27"/>
      <c r="J92" s="27"/>
      <c r="K92" s="27"/>
      <c r="L92" s="27"/>
    </row>
    <row r="93">
      <c r="A93" s="174" t="s">
        <v>420</v>
      </c>
      <c r="B93" s="27"/>
      <c r="C93" s="105">
        <v>5700.0</v>
      </c>
      <c r="D93" s="145"/>
      <c r="E93" s="174" t="s">
        <v>510</v>
      </c>
      <c r="F93" s="196"/>
      <c r="G93" s="197" t="s">
        <v>511</v>
      </c>
      <c r="H93" s="174" t="s">
        <v>361</v>
      </c>
      <c r="I93" s="27"/>
      <c r="J93" s="27"/>
      <c r="K93" s="27"/>
      <c r="L93" s="27"/>
    </row>
    <row r="94">
      <c r="A94" s="174" t="s">
        <v>68</v>
      </c>
      <c r="B94" s="27"/>
      <c r="C94" s="105">
        <v>4450.0</v>
      </c>
      <c r="D94" s="145"/>
      <c r="E94" s="106" t="s">
        <v>512</v>
      </c>
      <c r="F94" s="196"/>
      <c r="G94" s="197" t="s">
        <v>513</v>
      </c>
      <c r="H94" s="106" t="s">
        <v>361</v>
      </c>
      <c r="I94" s="27"/>
      <c r="J94" s="27"/>
      <c r="K94" s="27"/>
      <c r="L94" s="27"/>
    </row>
    <row r="95">
      <c r="A95" s="185" t="s">
        <v>514</v>
      </c>
      <c r="B95" s="186"/>
      <c r="C95" s="108"/>
      <c r="D95" s="108"/>
      <c r="E95" s="186"/>
      <c r="F95" s="187"/>
      <c r="G95" s="195"/>
      <c r="H95" s="186"/>
      <c r="I95" s="27"/>
      <c r="J95" s="27"/>
      <c r="K95" s="27"/>
      <c r="L95" s="27"/>
    </row>
    <row r="96">
      <c r="A96" s="174" t="s">
        <v>110</v>
      </c>
      <c r="B96" s="175" t="str">
        <f>HYPERLINK("https://my.matterport.com/show/?m=WSQb2tcm33M","Matterport")</f>
        <v>Matterport</v>
      </c>
      <c r="C96" s="105">
        <v>3995.0</v>
      </c>
      <c r="D96" s="145"/>
      <c r="E96" s="106" t="s">
        <v>116</v>
      </c>
      <c r="F96" s="196"/>
      <c r="G96" s="197" t="s">
        <v>515</v>
      </c>
      <c r="H96" s="150"/>
      <c r="I96" s="27"/>
      <c r="J96" s="27"/>
      <c r="K96" s="27"/>
      <c r="L96" s="27"/>
    </row>
    <row r="97">
      <c r="A97" s="185" t="s">
        <v>516</v>
      </c>
      <c r="B97" s="186"/>
      <c r="C97" s="108"/>
      <c r="D97" s="108"/>
      <c r="E97" s="102"/>
      <c r="F97" s="187"/>
      <c r="G97" s="195"/>
      <c r="H97" s="186"/>
      <c r="I97" s="27"/>
      <c r="J97" s="27"/>
      <c r="K97" s="27"/>
      <c r="L97" s="27"/>
    </row>
    <row r="98">
      <c r="A98" s="174" t="s">
        <v>517</v>
      </c>
      <c r="B98" s="175" t="str">
        <f>HYPERLINK("https://my.matterport.com/show/?m=y1jdN3iCPFH","MP Link")</f>
        <v>MP Link</v>
      </c>
      <c r="C98" s="105">
        <v>4100.0</v>
      </c>
      <c r="D98" s="145"/>
      <c r="E98" s="174" t="s">
        <v>300</v>
      </c>
      <c r="F98" s="197" t="s">
        <v>396</v>
      </c>
      <c r="G98" s="197" t="s">
        <v>491</v>
      </c>
      <c r="H98" s="27"/>
      <c r="I98" s="27"/>
      <c r="J98" s="27"/>
      <c r="K98" s="27"/>
      <c r="L98" s="27"/>
    </row>
    <row r="99">
      <c r="A99" s="185" t="s">
        <v>518</v>
      </c>
      <c r="B99" s="102"/>
      <c r="C99" s="108"/>
      <c r="D99" s="108"/>
      <c r="E99" s="218"/>
      <c r="F99" s="195"/>
      <c r="G99" s="186"/>
      <c r="H99" s="102"/>
      <c r="I99" s="27"/>
      <c r="J99" s="27"/>
    </row>
    <row r="100">
      <c r="A100" s="174" t="s">
        <v>104</v>
      </c>
      <c r="B100" s="150"/>
      <c r="C100" s="105">
        <v>4800.0</v>
      </c>
      <c r="D100" s="145"/>
      <c r="E100" s="106" t="s">
        <v>508</v>
      </c>
      <c r="F100" s="198">
        <v>46266.0</v>
      </c>
      <c r="G100" s="106" t="s">
        <v>405</v>
      </c>
      <c r="H100" s="27"/>
      <c r="I100" s="27"/>
      <c r="J100" s="27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</row>
    <row r="101">
      <c r="A101" s="185" t="s">
        <v>519</v>
      </c>
      <c r="B101" s="186"/>
      <c r="C101" s="108"/>
      <c r="D101" s="108"/>
      <c r="E101" s="188"/>
      <c r="F101" s="195"/>
      <c r="G101" s="195"/>
      <c r="H101" s="102"/>
      <c r="I101" s="27"/>
      <c r="J101" s="27"/>
    </row>
    <row r="102">
      <c r="A102" s="174" t="s">
        <v>520</v>
      </c>
      <c r="B102" s="175" t="str">
        <f>HYPERLINK("https://my.matterport.com/show/?m=6UpXFEjQ7N8","Matterport")</f>
        <v>Matterport</v>
      </c>
      <c r="C102" s="105">
        <v>4050.0</v>
      </c>
      <c r="D102" s="145"/>
      <c r="E102" s="106" t="s">
        <v>116</v>
      </c>
      <c r="F102" s="198">
        <v>46235.0</v>
      </c>
      <c r="G102" s="197" t="s">
        <v>405</v>
      </c>
      <c r="H102" s="27"/>
      <c r="I102" s="27"/>
      <c r="J102" s="27"/>
    </row>
    <row r="103">
      <c r="A103" s="185" t="s">
        <v>521</v>
      </c>
      <c r="B103" s="102"/>
      <c r="C103" s="108"/>
      <c r="D103" s="108"/>
      <c r="E103" s="186"/>
      <c r="F103" s="102"/>
      <c r="G103" s="102"/>
      <c r="H103" s="102"/>
      <c r="I103" s="27"/>
      <c r="J103" s="27"/>
    </row>
    <row r="104">
      <c r="A104" s="226">
        <v>22.0</v>
      </c>
      <c r="B104" s="150"/>
      <c r="C104" s="105">
        <v>4300.0</v>
      </c>
      <c r="D104" s="145"/>
      <c r="E104" s="106" t="s">
        <v>522</v>
      </c>
      <c r="F104" s="27"/>
      <c r="G104" s="208" t="s">
        <v>523</v>
      </c>
      <c r="H104" s="27"/>
      <c r="I104" s="27"/>
      <c r="J104" s="27"/>
    </row>
    <row r="105">
      <c r="A105" s="226">
        <v>22.0</v>
      </c>
      <c r="B105" s="27"/>
      <c r="C105" s="105">
        <v>4300.0</v>
      </c>
      <c r="D105" s="145"/>
      <c r="E105" s="106" t="s">
        <v>116</v>
      </c>
      <c r="F105" s="27"/>
      <c r="G105" s="106" t="s">
        <v>523</v>
      </c>
      <c r="H105" s="27"/>
      <c r="I105" s="27"/>
      <c r="J105" s="27"/>
    </row>
    <row r="106">
      <c r="A106" s="117" t="s">
        <v>524</v>
      </c>
      <c r="B106" s="102"/>
      <c r="C106" s="108"/>
      <c r="D106" s="108"/>
      <c r="E106" s="102"/>
      <c r="F106" s="102"/>
      <c r="G106" s="102"/>
      <c r="H106" s="102"/>
      <c r="I106" s="27"/>
      <c r="J106" s="27"/>
    </row>
    <row r="107">
      <c r="A107" s="226">
        <v>304.0</v>
      </c>
      <c r="B107" s="150"/>
      <c r="C107" s="105">
        <v>9400.0</v>
      </c>
      <c r="D107" s="145"/>
      <c r="E107" s="106" t="s">
        <v>525</v>
      </c>
      <c r="F107" s="227"/>
      <c r="G107" s="27"/>
      <c r="H107" s="27"/>
      <c r="I107" s="27"/>
      <c r="J107" s="27"/>
    </row>
    <row r="108">
      <c r="A108" s="117" t="s">
        <v>526</v>
      </c>
      <c r="B108" s="102"/>
      <c r="C108" s="108"/>
      <c r="D108" s="108"/>
      <c r="E108" s="102"/>
      <c r="F108" s="102"/>
      <c r="G108" s="102"/>
      <c r="H108" s="102"/>
      <c r="I108" s="27"/>
      <c r="J108" s="27"/>
    </row>
    <row r="109">
      <c r="A109" s="106" t="s">
        <v>527</v>
      </c>
      <c r="B109" s="150"/>
      <c r="C109" s="105">
        <v>4050.0</v>
      </c>
      <c r="D109" s="145"/>
      <c r="E109" s="106" t="s">
        <v>528</v>
      </c>
      <c r="F109" s="197" t="s">
        <v>90</v>
      </c>
      <c r="G109" s="106" t="s">
        <v>529</v>
      </c>
      <c r="H109" s="27"/>
      <c r="I109" s="27"/>
      <c r="J109" s="27"/>
    </row>
    <row r="110">
      <c r="A110" s="117" t="s">
        <v>530</v>
      </c>
      <c r="B110" s="102"/>
      <c r="C110" s="102"/>
      <c r="D110" s="102"/>
      <c r="E110" s="102"/>
      <c r="F110" s="102"/>
      <c r="G110" s="102"/>
      <c r="H110" s="102"/>
      <c r="I110" s="27"/>
      <c r="J110" s="27"/>
    </row>
    <row r="111">
      <c r="A111" s="106" t="s">
        <v>531</v>
      </c>
      <c r="B111" s="27"/>
      <c r="C111" s="105">
        <v>4000.0</v>
      </c>
      <c r="D111" s="145"/>
      <c r="E111" s="106" t="s">
        <v>532</v>
      </c>
      <c r="F111" s="197" t="s">
        <v>90</v>
      </c>
      <c r="G111" s="106" t="s">
        <v>533</v>
      </c>
      <c r="H111" s="27"/>
      <c r="I111" s="27"/>
      <c r="J111" s="27"/>
    </row>
    <row r="112">
      <c r="A112" s="117" t="s">
        <v>534</v>
      </c>
      <c r="B112" s="102"/>
      <c r="C112" s="102"/>
      <c r="D112" s="108"/>
      <c r="E112" s="108"/>
      <c r="F112" s="102"/>
      <c r="G112" s="102"/>
      <c r="H112" s="102"/>
      <c r="I112" s="27"/>
      <c r="J112" s="27"/>
    </row>
    <row r="113">
      <c r="A113" s="113" t="s">
        <v>154</v>
      </c>
      <c r="B113" s="211" t="str">
        <f>HYPERLINK("https://my.matterport.com/show/?m=tEuL3CXy9if","Activate Matterport")</f>
        <v>Activate Matterport</v>
      </c>
      <c r="C113" s="112">
        <v>8300.0</v>
      </c>
      <c r="D113" s="192"/>
      <c r="E113" s="141" t="s">
        <v>535</v>
      </c>
      <c r="F113" s="193" t="s">
        <v>396</v>
      </c>
      <c r="G113" s="113" t="s">
        <v>536</v>
      </c>
      <c r="H113" s="111"/>
      <c r="I113" s="27"/>
      <c r="J113" s="27"/>
    </row>
    <row r="114">
      <c r="A114" s="113" t="s">
        <v>31</v>
      </c>
      <c r="B114" s="111"/>
      <c r="C114" s="112">
        <v>4400.0</v>
      </c>
      <c r="D114" s="192"/>
      <c r="E114" s="141" t="s">
        <v>443</v>
      </c>
      <c r="F114" s="228">
        <v>46266.0</v>
      </c>
      <c r="G114" s="113" t="s">
        <v>405</v>
      </c>
      <c r="H114" s="111"/>
      <c r="I114" s="27"/>
      <c r="J114" s="27"/>
    </row>
    <row r="115">
      <c r="A115" s="117" t="s">
        <v>537</v>
      </c>
      <c r="B115" s="102"/>
      <c r="C115" s="108"/>
      <c r="D115" s="108"/>
      <c r="E115" s="108"/>
      <c r="F115" s="223"/>
      <c r="G115" s="102"/>
      <c r="H115" s="102"/>
      <c r="I115" s="27"/>
      <c r="J115" s="27"/>
    </row>
    <row r="116">
      <c r="A116" s="113" t="s">
        <v>429</v>
      </c>
      <c r="B116" s="111"/>
      <c r="C116" s="112">
        <v>3900.0</v>
      </c>
      <c r="D116" s="192"/>
      <c r="E116" s="141" t="s">
        <v>300</v>
      </c>
      <c r="F116" s="111"/>
      <c r="G116" s="113" t="s">
        <v>538</v>
      </c>
      <c r="H116" s="111"/>
      <c r="I116" s="27"/>
      <c r="J116" s="27"/>
    </row>
    <row r="117">
      <c r="A117" s="117" t="s">
        <v>539</v>
      </c>
      <c r="B117" s="102"/>
      <c r="C117" s="108"/>
      <c r="D117" s="108"/>
      <c r="E117" s="108"/>
      <c r="F117" s="195"/>
      <c r="G117" s="102"/>
      <c r="H117" s="102"/>
      <c r="I117" s="27"/>
      <c r="J117" s="27"/>
    </row>
    <row r="118">
      <c r="A118" s="113" t="s">
        <v>333</v>
      </c>
      <c r="B118" s="111"/>
      <c r="C118" s="112">
        <v>4050.0</v>
      </c>
      <c r="D118" s="192"/>
      <c r="E118" s="141" t="s">
        <v>116</v>
      </c>
      <c r="F118" s="194">
        <v>46235.0</v>
      </c>
      <c r="G118" s="113" t="s">
        <v>405</v>
      </c>
      <c r="H118" s="111"/>
      <c r="I118" s="27"/>
      <c r="J118" s="27"/>
    </row>
    <row r="119">
      <c r="A119" s="117" t="s">
        <v>540</v>
      </c>
      <c r="B119" s="102"/>
      <c r="C119" s="218"/>
      <c r="D119" s="108"/>
      <c r="E119" s="108"/>
      <c r="F119" s="102"/>
      <c r="G119" s="102"/>
      <c r="H119" s="102"/>
      <c r="I119" s="27"/>
      <c r="J119" s="27"/>
    </row>
    <row r="120">
      <c r="A120" s="113" t="s">
        <v>541</v>
      </c>
      <c r="B120" s="211" t="str">
        <f>HYPERLINK("https://my.matterport.com/show/?m=wQb8cVbbAj3","Activate Matterport")</f>
        <v>Activate Matterport</v>
      </c>
      <c r="C120" s="112">
        <v>4250.0</v>
      </c>
      <c r="D120" s="192"/>
      <c r="E120" s="141" t="s">
        <v>542</v>
      </c>
      <c r="F120" s="111"/>
      <c r="G120" s="113" t="s">
        <v>543</v>
      </c>
      <c r="H120" s="111"/>
      <c r="I120" s="27"/>
      <c r="J120" s="27"/>
    </row>
    <row r="121">
      <c r="A121" s="117" t="s">
        <v>544</v>
      </c>
      <c r="B121" s="102"/>
      <c r="C121" s="108"/>
      <c r="D121" s="108"/>
      <c r="E121" s="108"/>
      <c r="F121" s="102"/>
      <c r="G121" s="102"/>
      <c r="H121" s="102"/>
      <c r="I121" s="27"/>
      <c r="J121" s="27"/>
    </row>
    <row r="122">
      <c r="A122" s="113" t="s">
        <v>37</v>
      </c>
      <c r="B122" s="111"/>
      <c r="C122" s="112">
        <v>5800.0</v>
      </c>
      <c r="D122" s="192"/>
      <c r="E122" s="141" t="s">
        <v>545</v>
      </c>
      <c r="F122" s="111"/>
      <c r="G122" s="113" t="s">
        <v>546</v>
      </c>
      <c r="H122" s="111"/>
      <c r="I122" s="27"/>
      <c r="J122" s="27"/>
    </row>
    <row r="123">
      <c r="A123" s="27"/>
      <c r="B123" s="27"/>
      <c r="C123" s="145"/>
      <c r="D123" s="145"/>
      <c r="E123" s="145"/>
      <c r="F123" s="27"/>
      <c r="G123" s="27"/>
      <c r="H123" s="27"/>
      <c r="I123" s="27"/>
      <c r="J123" s="27"/>
    </row>
    <row r="124">
      <c r="A124" s="142" t="s">
        <v>547</v>
      </c>
      <c r="B124" s="49"/>
      <c r="C124" s="229"/>
      <c r="D124" s="229"/>
      <c r="E124" s="229"/>
      <c r="F124" s="27"/>
      <c r="G124" s="27"/>
      <c r="H124" s="27"/>
      <c r="I124" s="27"/>
      <c r="J124" s="27"/>
    </row>
    <row r="125">
      <c r="A125" s="143" t="s">
        <v>329</v>
      </c>
      <c r="B125" s="143" t="s">
        <v>2</v>
      </c>
      <c r="C125" s="230" t="s">
        <v>330</v>
      </c>
      <c r="D125" s="230" t="s">
        <v>331</v>
      </c>
      <c r="E125" s="230" t="s">
        <v>332</v>
      </c>
      <c r="F125" s="27"/>
      <c r="G125" s="27"/>
      <c r="H125" s="27"/>
      <c r="I125" s="27"/>
      <c r="J125" s="27"/>
    </row>
    <row r="126">
      <c r="A126" s="106" t="s">
        <v>548</v>
      </c>
      <c r="B126" s="106" t="s">
        <v>480</v>
      </c>
      <c r="C126" s="145"/>
      <c r="D126" s="105">
        <v>4000.0</v>
      </c>
      <c r="E126" s="145"/>
      <c r="F126" s="27"/>
      <c r="G126" s="27"/>
      <c r="H126" s="27"/>
      <c r="I126" s="27"/>
      <c r="J126" s="27"/>
    </row>
    <row r="127">
      <c r="A127" s="106" t="s">
        <v>434</v>
      </c>
      <c r="B127" s="106" t="s">
        <v>451</v>
      </c>
      <c r="C127" s="231" t="str">
        <f>HYPERLINK("https://my.matterport.com/show/?m=TrG8zNG3eDY","Deactivate")</f>
        <v>Deactivate</v>
      </c>
      <c r="D127" s="105">
        <v>4100.0</v>
      </c>
      <c r="E127" s="145"/>
      <c r="F127" s="27"/>
      <c r="G127" s="27"/>
      <c r="H127" s="27"/>
      <c r="I127" s="27"/>
      <c r="J127" s="27"/>
    </row>
    <row r="128">
      <c r="A128" s="106" t="s">
        <v>434</v>
      </c>
      <c r="B128" s="106" t="s">
        <v>549</v>
      </c>
      <c r="C128" s="231" t="str">
        <f>HYPERLINK("https://my.matterport.com/show/?m=tFjMKwCLhqS","Deactivate")</f>
        <v>Deactivate</v>
      </c>
      <c r="D128" s="105">
        <v>4300.0</v>
      </c>
      <c r="E128" s="145"/>
      <c r="F128" s="27"/>
      <c r="G128" s="27"/>
      <c r="H128" s="27"/>
      <c r="I128" s="27"/>
      <c r="J128" s="27"/>
    </row>
    <row r="129">
      <c r="A129" s="106" t="s">
        <v>550</v>
      </c>
      <c r="B129" s="106" t="s">
        <v>154</v>
      </c>
      <c r="C129" s="231" t="str">
        <f>HYPERLINK("https://my.matterport.com/show/?m=4RYunye9m15","Deactivate")</f>
        <v>Deactivate</v>
      </c>
      <c r="D129" s="105">
        <v>4750.0</v>
      </c>
      <c r="E129" s="145"/>
      <c r="F129" s="27"/>
      <c r="G129" s="27"/>
      <c r="H129" s="27"/>
      <c r="I129" s="27"/>
      <c r="J129" s="27"/>
    </row>
    <row r="130">
      <c r="A130" s="106" t="s">
        <v>412</v>
      </c>
      <c r="B130" s="106" t="s">
        <v>244</v>
      </c>
      <c r="C130" s="145"/>
      <c r="D130" s="105">
        <v>11300.0</v>
      </c>
      <c r="E130" s="145"/>
      <c r="F130" s="27"/>
      <c r="G130" s="27"/>
      <c r="H130" s="27"/>
      <c r="I130" s="27"/>
      <c r="J130" s="27"/>
    </row>
    <row r="131">
      <c r="A131" s="106" t="s">
        <v>412</v>
      </c>
      <c r="B131" s="106" t="s">
        <v>551</v>
      </c>
      <c r="C131" s="27"/>
      <c r="D131" s="105">
        <v>5800.0</v>
      </c>
      <c r="E131" s="145"/>
      <c r="F131" s="27"/>
      <c r="G131" s="27"/>
      <c r="H131" s="27"/>
      <c r="I131" s="27"/>
      <c r="J131" s="27"/>
    </row>
    <row r="132">
      <c r="A132" s="106" t="s">
        <v>552</v>
      </c>
      <c r="B132" s="106" t="s">
        <v>553</v>
      </c>
      <c r="C132" s="232"/>
      <c r="D132" s="105">
        <v>7300.0</v>
      </c>
      <c r="E132" s="145"/>
      <c r="F132" s="27"/>
      <c r="G132" s="27"/>
      <c r="H132" s="27"/>
      <c r="I132" s="27"/>
      <c r="J132" s="27"/>
    </row>
    <row r="133">
      <c r="A133" s="106" t="s">
        <v>552</v>
      </c>
      <c r="B133" s="106" t="s">
        <v>429</v>
      </c>
      <c r="C133" s="232"/>
      <c r="D133" s="105">
        <v>3900.0</v>
      </c>
      <c r="E133" s="145"/>
      <c r="F133" s="27"/>
      <c r="G133" s="27"/>
      <c r="H133" s="27"/>
      <c r="I133" s="27"/>
      <c r="J133" s="27"/>
    </row>
    <row r="134">
      <c r="A134" s="106" t="s">
        <v>447</v>
      </c>
      <c r="B134" s="106" t="s">
        <v>554</v>
      </c>
      <c r="C134" s="145"/>
      <c r="D134" s="105">
        <v>7900.0</v>
      </c>
      <c r="E134" s="145"/>
      <c r="F134" s="27"/>
      <c r="G134" s="27"/>
      <c r="H134" s="27"/>
      <c r="I134" s="27"/>
      <c r="J134" s="27"/>
    </row>
    <row r="135">
      <c r="A135" s="106" t="s">
        <v>483</v>
      </c>
      <c r="B135" s="106" t="s">
        <v>555</v>
      </c>
      <c r="C135" s="145"/>
      <c r="D135" s="105">
        <v>4500.0</v>
      </c>
      <c r="E135" s="145"/>
      <c r="F135" s="27"/>
      <c r="G135" s="27"/>
      <c r="H135" s="27"/>
      <c r="I135" s="27"/>
      <c r="J135" s="27"/>
    </row>
    <row r="136">
      <c r="A136" s="106" t="s">
        <v>556</v>
      </c>
      <c r="B136" s="106" t="s">
        <v>557</v>
      </c>
      <c r="C136" s="231" t="str">
        <f>HYPERLINK("https://my.matterport.com/show/?m=h65p9X4b9Kc","Deactivate")</f>
        <v>Deactivate</v>
      </c>
      <c r="D136" s="105">
        <v>4600.0</v>
      </c>
      <c r="E136" s="145"/>
      <c r="F136" s="27"/>
      <c r="G136" s="27"/>
      <c r="H136" s="27"/>
      <c r="I136" s="27"/>
      <c r="J136" s="27"/>
    </row>
    <row r="137">
      <c r="A137" s="106" t="s">
        <v>492</v>
      </c>
      <c r="B137" s="106" t="s">
        <v>551</v>
      </c>
      <c r="C137" s="145"/>
      <c r="D137" s="105">
        <v>5800.0</v>
      </c>
      <c r="E137" s="145"/>
      <c r="F137" s="27"/>
      <c r="G137" s="27"/>
      <c r="H137" s="27"/>
      <c r="I137" s="27"/>
      <c r="J137" s="27"/>
    </row>
    <row r="138">
      <c r="A138" s="106" t="s">
        <v>558</v>
      </c>
      <c r="B138" s="106" t="s">
        <v>497</v>
      </c>
      <c r="C138" s="145"/>
      <c r="D138" s="105">
        <v>4200.0</v>
      </c>
      <c r="E138" s="145"/>
      <c r="F138" s="27"/>
      <c r="G138" s="27"/>
      <c r="H138" s="27"/>
      <c r="I138" s="27"/>
      <c r="J138" s="27"/>
    </row>
    <row r="139">
      <c r="A139" s="106" t="s">
        <v>558</v>
      </c>
      <c r="B139" s="106" t="s">
        <v>559</v>
      </c>
      <c r="C139" s="27"/>
      <c r="D139" s="105">
        <v>8800.0</v>
      </c>
      <c r="E139" s="145"/>
      <c r="F139" s="27"/>
      <c r="G139" s="27"/>
      <c r="H139" s="27"/>
      <c r="I139" s="27"/>
      <c r="J139" s="27"/>
    </row>
    <row r="140">
      <c r="A140" s="106" t="s">
        <v>450</v>
      </c>
      <c r="B140" s="106" t="s">
        <v>238</v>
      </c>
      <c r="C140" s="144" t="str">
        <f>HYPERLINK("https://my.matterport.com/show/?m=QKijh7nabk4","Deactivate")</f>
        <v>Deactivate</v>
      </c>
      <c r="D140" s="105">
        <v>7900.0</v>
      </c>
      <c r="E140" s="145"/>
      <c r="F140" s="27"/>
      <c r="G140" s="27"/>
      <c r="H140" s="27"/>
      <c r="I140" s="27"/>
      <c r="J140" s="27"/>
    </row>
    <row r="141">
      <c r="A141" s="106" t="s">
        <v>450</v>
      </c>
      <c r="B141" s="106" t="s">
        <v>560</v>
      </c>
      <c r="C141" s="144" t="str">
        <f>HYPERLINK("https://my.matterport.com/show/?m=uQUebgptjYz","Deactivate")</f>
        <v>Deactivate</v>
      </c>
      <c r="D141" s="105">
        <v>4500.0</v>
      </c>
      <c r="E141" s="145"/>
      <c r="F141" s="27"/>
      <c r="G141" s="27"/>
      <c r="H141" s="27"/>
      <c r="I141" s="27"/>
      <c r="J141" s="27"/>
    </row>
    <row r="142">
      <c r="A142" s="106" t="s">
        <v>561</v>
      </c>
      <c r="B142" s="106" t="s">
        <v>427</v>
      </c>
      <c r="C142" s="27"/>
      <c r="D142" s="105">
        <v>4250.0</v>
      </c>
      <c r="E142" s="145"/>
      <c r="F142" s="27"/>
      <c r="G142" s="27"/>
      <c r="H142" s="27"/>
      <c r="I142" s="27"/>
      <c r="J142" s="27"/>
    </row>
    <row r="143">
      <c r="A143" s="106" t="s">
        <v>562</v>
      </c>
      <c r="B143" s="106" t="s">
        <v>563</v>
      </c>
      <c r="C143" s="144" t="str">
        <f>HYPERLINK("https://my.matterport.com/show/?m=BauL9cnPwFU","Deactivate")</f>
        <v>Deactivate</v>
      </c>
      <c r="D143" s="105">
        <v>4300.0</v>
      </c>
      <c r="E143" s="145"/>
      <c r="F143" s="27"/>
      <c r="G143" s="27"/>
      <c r="H143" s="27"/>
      <c r="I143" s="27"/>
      <c r="J143" s="27"/>
    </row>
    <row r="144">
      <c r="A144" s="106" t="s">
        <v>564</v>
      </c>
      <c r="B144" s="106" t="s">
        <v>37</v>
      </c>
      <c r="C144" s="27"/>
      <c r="D144" s="105">
        <v>5800.0</v>
      </c>
      <c r="E144" s="145"/>
      <c r="F144" s="27"/>
      <c r="G144" s="27"/>
      <c r="H144" s="27"/>
      <c r="I144" s="27"/>
      <c r="J144" s="27"/>
    </row>
    <row r="145">
      <c r="A145" s="106" t="s">
        <v>564</v>
      </c>
      <c r="B145" s="106" t="s">
        <v>565</v>
      </c>
      <c r="C145" s="27"/>
      <c r="D145" s="105">
        <v>4050.0</v>
      </c>
      <c r="E145" s="145"/>
      <c r="F145" s="27"/>
      <c r="G145" s="27"/>
      <c r="H145" s="27"/>
      <c r="I145" s="27"/>
      <c r="J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</row>
    <row r="147">
      <c r="A147" s="142" t="s">
        <v>566</v>
      </c>
      <c r="B147" s="49"/>
      <c r="C147" s="49"/>
      <c r="D147" s="49"/>
      <c r="E147" s="27"/>
      <c r="F147" s="27"/>
      <c r="G147" s="27"/>
      <c r="H147" s="27"/>
      <c r="I147" s="27"/>
      <c r="J147" s="27"/>
    </row>
    <row r="148">
      <c r="A148" s="143" t="s">
        <v>329</v>
      </c>
      <c r="B148" s="143" t="s">
        <v>2</v>
      </c>
      <c r="C148" s="143" t="s">
        <v>331</v>
      </c>
      <c r="D148" s="143" t="s">
        <v>332</v>
      </c>
      <c r="E148" s="27"/>
      <c r="F148" s="27"/>
      <c r="G148" s="27"/>
      <c r="H148" s="27"/>
      <c r="I148" s="27"/>
    </row>
    <row r="149">
      <c r="A149" s="106" t="s">
        <v>458</v>
      </c>
      <c r="B149" s="106" t="s">
        <v>459</v>
      </c>
      <c r="C149" s="105">
        <v>8600.0</v>
      </c>
      <c r="D149" s="105">
        <v>8300.0</v>
      </c>
      <c r="E149" s="27"/>
      <c r="F149" s="27"/>
      <c r="G149" s="27"/>
      <c r="H149" s="27"/>
      <c r="I149" s="27"/>
    </row>
    <row r="150">
      <c r="A150" s="106" t="s">
        <v>500</v>
      </c>
      <c r="B150" s="106" t="s">
        <v>501</v>
      </c>
      <c r="C150" s="105">
        <v>4800.0</v>
      </c>
      <c r="D150" s="105">
        <v>4650.0</v>
      </c>
      <c r="E150" s="27"/>
      <c r="F150" s="27"/>
      <c r="G150" s="27"/>
      <c r="H150" s="27"/>
      <c r="I150" s="27"/>
    </row>
    <row r="151">
      <c r="A151" s="106" t="s">
        <v>450</v>
      </c>
      <c r="B151" s="106" t="s">
        <v>451</v>
      </c>
      <c r="C151" s="105">
        <v>7800.0</v>
      </c>
      <c r="D151" s="105">
        <v>7600.0</v>
      </c>
      <c r="E151" s="27"/>
      <c r="F151" s="27"/>
      <c r="G151" s="27"/>
      <c r="H151" s="27"/>
      <c r="I151" s="27"/>
    </row>
    <row r="152">
      <c r="A152" s="106" t="s">
        <v>407</v>
      </c>
      <c r="B152" s="106" t="s">
        <v>282</v>
      </c>
      <c r="C152" s="105">
        <v>5000.0</v>
      </c>
      <c r="D152" s="105">
        <v>5300.0</v>
      </c>
      <c r="E152" s="27"/>
      <c r="F152" s="27"/>
      <c r="G152" s="27"/>
      <c r="H152" s="27"/>
      <c r="I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</row>
    <row r="163">
      <c r="A163" s="27"/>
      <c r="B163" s="27"/>
      <c r="C163" s="27"/>
      <c r="D163" s="27"/>
      <c r="E163" s="27"/>
      <c r="F163" s="30"/>
      <c r="G163" s="27"/>
      <c r="H163" s="27"/>
    </row>
    <row r="164">
      <c r="A164" s="27"/>
      <c r="B164" s="27"/>
      <c r="C164" s="27"/>
      <c r="D164" s="27"/>
      <c r="E164" s="27"/>
      <c r="F164" s="30"/>
      <c r="G164" s="27"/>
      <c r="H164" s="27"/>
    </row>
    <row r="165">
      <c r="A165" s="27"/>
      <c r="B165" s="27"/>
      <c r="C165" s="27"/>
      <c r="D165" s="27"/>
      <c r="E165" s="27"/>
      <c r="F165" s="30"/>
      <c r="G165" s="27"/>
      <c r="H165" s="27"/>
    </row>
    <row r="166">
      <c r="A166" s="233"/>
      <c r="B166" s="181"/>
      <c r="C166" s="181"/>
      <c r="D166" s="181"/>
      <c r="F166" s="181"/>
      <c r="G166" s="181"/>
    </row>
    <row r="167">
      <c r="A167" s="233"/>
      <c r="B167" s="181"/>
      <c r="C167" s="181"/>
      <c r="D167" s="181"/>
      <c r="F167" s="181"/>
      <c r="G167" s="181"/>
    </row>
    <row r="168">
      <c r="A168" s="233"/>
      <c r="B168" s="181"/>
      <c r="C168" s="181"/>
      <c r="D168" s="181"/>
      <c r="F168" s="181"/>
      <c r="G168" s="181"/>
    </row>
    <row r="169">
      <c r="A169" s="233"/>
      <c r="B169" s="181"/>
      <c r="C169" s="181"/>
      <c r="D169" s="181"/>
      <c r="F169" s="181"/>
      <c r="G169" s="181"/>
    </row>
    <row r="170">
      <c r="A170" s="233"/>
      <c r="B170" s="181"/>
      <c r="C170" s="181"/>
      <c r="D170" s="181"/>
      <c r="F170" s="181"/>
      <c r="G170" s="181"/>
    </row>
    <row r="171">
      <c r="A171" s="233"/>
      <c r="B171" s="181"/>
      <c r="C171" s="181"/>
      <c r="D171" s="181"/>
      <c r="F171" s="181"/>
      <c r="G171" s="181"/>
    </row>
    <row r="172">
      <c r="A172" s="233"/>
      <c r="B172" s="181"/>
      <c r="C172" s="181"/>
      <c r="D172" s="181"/>
      <c r="F172" s="181"/>
      <c r="G172" s="181"/>
    </row>
    <row r="173">
      <c r="A173" s="233"/>
      <c r="B173" s="181"/>
      <c r="C173" s="181"/>
      <c r="D173" s="181"/>
      <c r="F173" s="181"/>
      <c r="G173" s="181"/>
    </row>
    <row r="174">
      <c r="A174" s="233"/>
      <c r="B174" s="181"/>
      <c r="C174" s="181"/>
      <c r="D174" s="181"/>
      <c r="F174" s="181"/>
      <c r="G174" s="181"/>
    </row>
    <row r="175">
      <c r="A175" s="233"/>
      <c r="B175" s="181"/>
      <c r="C175" s="181"/>
      <c r="D175" s="181"/>
      <c r="F175" s="181"/>
      <c r="G175" s="181"/>
    </row>
    <row r="176">
      <c r="A176" s="233"/>
      <c r="B176" s="181"/>
      <c r="C176" s="181"/>
      <c r="D176" s="181"/>
      <c r="F176" s="181"/>
      <c r="G176" s="181"/>
    </row>
    <row r="177">
      <c r="A177" s="233"/>
      <c r="B177" s="181"/>
      <c r="C177" s="181"/>
      <c r="D177" s="181"/>
      <c r="F177" s="181"/>
      <c r="G177" s="181"/>
    </row>
    <row r="178">
      <c r="A178" s="233"/>
      <c r="B178" s="181"/>
      <c r="C178" s="181"/>
      <c r="D178" s="181"/>
      <c r="F178" s="181"/>
      <c r="G178" s="181"/>
      <c r="H178" s="234"/>
    </row>
    <row r="179">
      <c r="A179" s="233"/>
      <c r="B179" s="181"/>
      <c r="C179" s="181"/>
      <c r="D179" s="181"/>
      <c r="F179" s="181"/>
      <c r="G179" s="181"/>
      <c r="H179" s="235"/>
    </row>
    <row r="180">
      <c r="A180" s="233"/>
      <c r="B180" s="181"/>
      <c r="C180" s="181"/>
      <c r="D180" s="181"/>
      <c r="F180" s="181"/>
      <c r="G180" s="181"/>
      <c r="H180" s="235"/>
    </row>
    <row r="181">
      <c r="A181" s="233"/>
      <c r="B181" s="181"/>
      <c r="C181" s="181"/>
      <c r="D181" s="181"/>
      <c r="F181" s="181"/>
      <c r="G181" s="181"/>
      <c r="H181" s="235"/>
    </row>
    <row r="182">
      <c r="A182" s="233"/>
      <c r="B182" s="181"/>
      <c r="C182" s="181"/>
      <c r="D182" s="181"/>
      <c r="F182" s="181"/>
      <c r="G182" s="181"/>
      <c r="H182" s="235"/>
    </row>
    <row r="183">
      <c r="A183" s="233"/>
      <c r="B183" s="181"/>
      <c r="C183" s="181"/>
      <c r="D183" s="181"/>
      <c r="F183" s="181"/>
      <c r="G183" s="181"/>
      <c r="H183" s="235"/>
    </row>
    <row r="184">
      <c r="A184" s="233"/>
      <c r="B184" s="181"/>
      <c r="C184" s="181"/>
      <c r="D184" s="181"/>
      <c r="F184" s="181"/>
      <c r="G184" s="181"/>
      <c r="H184" s="235"/>
    </row>
    <row r="185">
      <c r="A185" s="233"/>
      <c r="B185" s="181"/>
      <c r="C185" s="181"/>
      <c r="D185" s="181"/>
      <c r="F185" s="181"/>
      <c r="G185" s="181"/>
      <c r="H185" s="235"/>
    </row>
    <row r="186">
      <c r="A186" s="233"/>
      <c r="B186" s="181"/>
      <c r="C186" s="181"/>
      <c r="D186" s="181"/>
      <c r="F186" s="181"/>
      <c r="G186" s="181"/>
      <c r="H186" s="235"/>
    </row>
    <row r="187">
      <c r="A187" s="233"/>
      <c r="B187" s="181"/>
      <c r="C187" s="181"/>
      <c r="D187" s="181"/>
      <c r="F187" s="181"/>
      <c r="G187" s="181"/>
      <c r="H187" s="235"/>
    </row>
    <row r="188">
      <c r="A188" s="233"/>
      <c r="B188" s="181"/>
      <c r="C188" s="181"/>
      <c r="D188" s="181"/>
      <c r="F188" s="181"/>
      <c r="G188" s="181"/>
      <c r="H188" s="235"/>
    </row>
    <row r="189">
      <c r="A189" s="233"/>
      <c r="B189" s="181"/>
      <c r="C189" s="181"/>
      <c r="D189" s="181"/>
      <c r="F189" s="181"/>
      <c r="G189" s="181"/>
      <c r="H189" s="235"/>
    </row>
    <row r="190">
      <c r="A190" s="233"/>
      <c r="B190" s="181"/>
      <c r="C190" s="181"/>
      <c r="D190" s="181"/>
      <c r="F190" s="181"/>
      <c r="G190" s="181"/>
      <c r="H190" s="235"/>
    </row>
    <row r="191">
      <c r="A191" s="233"/>
      <c r="B191" s="181"/>
      <c r="C191" s="181"/>
      <c r="D191" s="181"/>
      <c r="F191" s="181"/>
      <c r="G191" s="181"/>
      <c r="H191" s="235"/>
    </row>
    <row r="192">
      <c r="A192" s="233"/>
      <c r="B192" s="181"/>
      <c r="C192" s="181"/>
      <c r="D192" s="181"/>
      <c r="F192" s="181"/>
      <c r="G192" s="181"/>
      <c r="H192" s="235"/>
    </row>
    <row r="193">
      <c r="A193" s="233"/>
      <c r="B193" s="181"/>
      <c r="C193" s="181"/>
      <c r="D193" s="181"/>
      <c r="F193" s="181"/>
      <c r="G193" s="181"/>
      <c r="H193" s="235"/>
    </row>
    <row r="194">
      <c r="A194" s="233"/>
      <c r="B194" s="181"/>
      <c r="C194" s="181"/>
      <c r="D194" s="181"/>
      <c r="F194" s="181"/>
      <c r="G194" s="181"/>
      <c r="H194" s="235"/>
    </row>
    <row r="195">
      <c r="A195" s="233"/>
      <c r="B195" s="181"/>
      <c r="C195" s="181"/>
      <c r="D195" s="181"/>
      <c r="F195" s="181"/>
      <c r="G195" s="181"/>
      <c r="H195" s="235"/>
    </row>
    <row r="196">
      <c r="A196" s="233"/>
      <c r="B196" s="181"/>
      <c r="C196" s="181"/>
      <c r="D196" s="181"/>
      <c r="F196" s="181"/>
      <c r="G196" s="181"/>
      <c r="H196" s="235"/>
    </row>
    <row r="197">
      <c r="A197" s="233"/>
      <c r="B197" s="181"/>
      <c r="C197" s="181"/>
      <c r="D197" s="181"/>
      <c r="F197" s="181"/>
      <c r="G197" s="181"/>
      <c r="H197" s="235"/>
    </row>
    <row r="198">
      <c r="A198" s="233"/>
      <c r="B198" s="181"/>
      <c r="C198" s="181"/>
      <c r="D198" s="181"/>
      <c r="F198" s="181"/>
      <c r="G198" s="181"/>
      <c r="H198" s="235"/>
    </row>
    <row r="199">
      <c r="A199" s="233"/>
      <c r="B199" s="181"/>
      <c r="C199" s="181"/>
      <c r="D199" s="181"/>
      <c r="F199" s="181"/>
      <c r="G199" s="181"/>
      <c r="H199" s="235"/>
    </row>
    <row r="200">
      <c r="A200" s="233"/>
      <c r="B200" s="181"/>
      <c r="C200" s="181"/>
      <c r="D200" s="181"/>
      <c r="F200" s="181"/>
      <c r="G200" s="181"/>
      <c r="H200" s="235"/>
    </row>
    <row r="201">
      <c r="A201" s="233"/>
      <c r="B201" s="181"/>
      <c r="C201" s="181"/>
      <c r="D201" s="181"/>
      <c r="F201" s="181"/>
      <c r="G201" s="181"/>
      <c r="H201" s="235"/>
    </row>
    <row r="202">
      <c r="A202" s="233"/>
      <c r="B202" s="181"/>
      <c r="C202" s="181"/>
      <c r="D202" s="181"/>
      <c r="F202" s="181"/>
      <c r="G202" s="181"/>
      <c r="H202" s="235"/>
    </row>
    <row r="203">
      <c r="A203" s="233"/>
      <c r="B203" s="181"/>
      <c r="C203" s="181"/>
      <c r="D203" s="181"/>
      <c r="F203" s="181"/>
      <c r="G203" s="181"/>
      <c r="H203" s="235"/>
    </row>
    <row r="204">
      <c r="A204" s="233"/>
      <c r="B204" s="181"/>
      <c r="C204" s="181"/>
      <c r="D204" s="181"/>
      <c r="F204" s="181"/>
      <c r="G204" s="181"/>
      <c r="H204" s="235"/>
    </row>
    <row r="205">
      <c r="A205" s="233"/>
      <c r="B205" s="181"/>
      <c r="C205" s="181"/>
      <c r="D205" s="181"/>
      <c r="F205" s="181"/>
      <c r="G205" s="181"/>
      <c r="H205" s="235"/>
    </row>
    <row r="206">
      <c r="A206" s="233"/>
      <c r="B206" s="181"/>
      <c r="C206" s="181"/>
      <c r="D206" s="181"/>
      <c r="F206" s="181"/>
      <c r="G206" s="181"/>
      <c r="H206" s="235"/>
    </row>
    <row r="207">
      <c r="A207" s="233"/>
      <c r="B207" s="181"/>
      <c r="C207" s="181"/>
      <c r="D207" s="181"/>
      <c r="F207" s="181"/>
      <c r="G207" s="181"/>
      <c r="H207" s="235"/>
    </row>
    <row r="208">
      <c r="A208" s="233"/>
      <c r="B208" s="181"/>
      <c r="C208" s="181"/>
      <c r="D208" s="181"/>
      <c r="F208" s="181"/>
      <c r="G208" s="181"/>
      <c r="H208" s="235"/>
    </row>
    <row r="209">
      <c r="A209" s="233"/>
      <c r="B209" s="181"/>
      <c r="C209" s="181"/>
      <c r="D209" s="181"/>
      <c r="F209" s="181"/>
      <c r="G209" s="181"/>
      <c r="H209" s="235"/>
    </row>
    <row r="210">
      <c r="A210" s="233"/>
      <c r="B210" s="181"/>
      <c r="C210" s="181"/>
      <c r="D210" s="181"/>
      <c r="F210" s="181"/>
      <c r="G210" s="181"/>
      <c r="H210" s="235"/>
    </row>
    <row r="211">
      <c r="A211" s="233"/>
      <c r="B211" s="181"/>
      <c r="C211" s="181"/>
      <c r="D211" s="181"/>
      <c r="F211" s="181"/>
      <c r="G211" s="181"/>
      <c r="H211" s="235"/>
    </row>
    <row r="212">
      <c r="A212" s="233"/>
      <c r="B212" s="181"/>
      <c r="C212" s="181"/>
      <c r="D212" s="181"/>
      <c r="F212" s="181"/>
      <c r="G212" s="181"/>
      <c r="H212" s="235"/>
    </row>
    <row r="213">
      <c r="A213" s="233"/>
      <c r="B213" s="181"/>
      <c r="C213" s="181"/>
      <c r="D213" s="181"/>
      <c r="F213" s="181"/>
      <c r="G213" s="181"/>
      <c r="H213" s="235"/>
    </row>
    <row r="214">
      <c r="A214" s="233"/>
      <c r="B214" s="181"/>
      <c r="C214" s="181"/>
      <c r="D214" s="181"/>
      <c r="F214" s="181"/>
      <c r="G214" s="181"/>
      <c r="H214" s="235"/>
    </row>
    <row r="215">
      <c r="A215" s="233"/>
      <c r="B215" s="181"/>
      <c r="C215" s="181"/>
      <c r="D215" s="181"/>
      <c r="F215" s="181"/>
      <c r="G215" s="181"/>
      <c r="H215" s="235"/>
    </row>
    <row r="216">
      <c r="A216" s="233"/>
      <c r="B216" s="181"/>
      <c r="C216" s="181"/>
      <c r="D216" s="181"/>
      <c r="F216" s="181"/>
      <c r="G216" s="181"/>
      <c r="H216" s="235"/>
    </row>
    <row r="217">
      <c r="A217" s="233"/>
      <c r="B217" s="181"/>
      <c r="C217" s="181"/>
      <c r="D217" s="181"/>
      <c r="F217" s="181"/>
      <c r="G217" s="181"/>
      <c r="H217" s="235"/>
    </row>
    <row r="218">
      <c r="A218" s="233"/>
      <c r="B218" s="181"/>
      <c r="C218" s="181"/>
      <c r="D218" s="181"/>
      <c r="F218" s="181"/>
      <c r="G218" s="181"/>
      <c r="H218" s="235"/>
    </row>
    <row r="219">
      <c r="A219" s="233"/>
      <c r="B219" s="181"/>
      <c r="C219" s="181"/>
      <c r="D219" s="181"/>
      <c r="F219" s="181"/>
      <c r="G219" s="181"/>
      <c r="H219" s="235"/>
    </row>
    <row r="220">
      <c r="A220" s="233"/>
      <c r="B220" s="181"/>
      <c r="C220" s="181"/>
      <c r="D220" s="181"/>
      <c r="F220" s="181"/>
      <c r="G220" s="181"/>
      <c r="H220" s="235"/>
    </row>
    <row r="221">
      <c r="A221" s="233"/>
      <c r="B221" s="181"/>
      <c r="C221" s="181"/>
      <c r="D221" s="181"/>
      <c r="F221" s="181"/>
      <c r="G221" s="181"/>
      <c r="H221" s="235"/>
    </row>
    <row r="222">
      <c r="A222" s="233"/>
      <c r="B222" s="181"/>
      <c r="C222" s="181"/>
      <c r="D222" s="181"/>
      <c r="F222" s="181"/>
      <c r="G222" s="181"/>
      <c r="H222" s="235"/>
    </row>
    <row r="223">
      <c r="A223" s="233"/>
      <c r="B223" s="181"/>
      <c r="C223" s="181"/>
      <c r="D223" s="181"/>
      <c r="F223" s="181"/>
      <c r="G223" s="181"/>
      <c r="H223" s="235"/>
    </row>
    <row r="224">
      <c r="A224" s="233"/>
      <c r="B224" s="181"/>
      <c r="C224" s="181"/>
      <c r="D224" s="181"/>
      <c r="F224" s="181"/>
      <c r="G224" s="181"/>
      <c r="H224" s="235"/>
    </row>
    <row r="225">
      <c r="A225" s="233"/>
      <c r="B225" s="181"/>
      <c r="C225" s="181"/>
      <c r="D225" s="181"/>
      <c r="F225" s="181"/>
      <c r="G225" s="181"/>
      <c r="H225" s="235"/>
    </row>
    <row r="226">
      <c r="A226" s="233"/>
      <c r="B226" s="181"/>
      <c r="C226" s="181"/>
      <c r="D226" s="181"/>
      <c r="F226" s="181"/>
      <c r="G226" s="181"/>
      <c r="H226" s="235"/>
    </row>
    <row r="227">
      <c r="A227" s="233"/>
      <c r="B227" s="181"/>
      <c r="C227" s="181"/>
      <c r="D227" s="181"/>
      <c r="F227" s="181"/>
      <c r="G227" s="181"/>
      <c r="H227" s="235"/>
    </row>
    <row r="228">
      <c r="A228" s="233"/>
      <c r="B228" s="181"/>
      <c r="C228" s="181"/>
      <c r="D228" s="181"/>
      <c r="F228" s="181"/>
      <c r="G228" s="181"/>
      <c r="H228" s="235"/>
    </row>
    <row r="229">
      <c r="A229" s="233"/>
      <c r="B229" s="181"/>
      <c r="C229" s="181"/>
      <c r="D229" s="181"/>
      <c r="F229" s="181"/>
      <c r="G229" s="181"/>
      <c r="H229" s="235"/>
    </row>
    <row r="230">
      <c r="A230" s="233"/>
      <c r="B230" s="181"/>
      <c r="C230" s="181"/>
      <c r="D230" s="181"/>
      <c r="F230" s="181"/>
      <c r="G230" s="181"/>
      <c r="H230" s="235"/>
    </row>
    <row r="231">
      <c r="A231" s="233"/>
      <c r="B231" s="181"/>
      <c r="C231" s="181"/>
      <c r="D231" s="181"/>
      <c r="F231" s="181"/>
      <c r="G231" s="181"/>
      <c r="H231" s="235"/>
    </row>
    <row r="232">
      <c r="A232" s="233"/>
      <c r="B232" s="181"/>
      <c r="C232" s="181"/>
      <c r="D232" s="181"/>
      <c r="F232" s="181"/>
      <c r="G232" s="181"/>
      <c r="H232" s="235"/>
    </row>
    <row r="233">
      <c r="A233" s="233"/>
      <c r="B233" s="181"/>
      <c r="C233" s="181"/>
      <c r="D233" s="181"/>
      <c r="F233" s="181"/>
      <c r="G233" s="181"/>
      <c r="H233" s="235"/>
    </row>
    <row r="234">
      <c r="A234" s="233"/>
      <c r="B234" s="181"/>
      <c r="C234" s="181"/>
      <c r="D234" s="181"/>
      <c r="F234" s="181"/>
      <c r="G234" s="181"/>
      <c r="H234" s="235"/>
    </row>
    <row r="235">
      <c r="A235" s="233"/>
      <c r="B235" s="181"/>
      <c r="C235" s="181"/>
      <c r="D235" s="181"/>
      <c r="F235" s="181"/>
      <c r="G235" s="181"/>
      <c r="H235" s="235"/>
    </row>
    <row r="236">
      <c r="A236" s="233"/>
      <c r="B236" s="181"/>
      <c r="C236" s="181"/>
      <c r="D236" s="181"/>
      <c r="F236" s="181"/>
      <c r="G236" s="181"/>
      <c r="H236" s="235"/>
    </row>
    <row r="237">
      <c r="A237" s="233"/>
      <c r="B237" s="181"/>
      <c r="C237" s="181"/>
      <c r="D237" s="181"/>
      <c r="F237" s="181"/>
      <c r="G237" s="181"/>
      <c r="H237" s="235"/>
    </row>
    <row r="238">
      <c r="A238" s="233"/>
      <c r="B238" s="181"/>
      <c r="C238" s="181"/>
      <c r="D238" s="181"/>
      <c r="F238" s="181"/>
      <c r="G238" s="181"/>
      <c r="H238" s="235"/>
    </row>
    <row r="239">
      <c r="A239" s="233"/>
      <c r="B239" s="181"/>
      <c r="C239" s="181"/>
      <c r="D239" s="181"/>
      <c r="F239" s="181"/>
      <c r="G239" s="181"/>
      <c r="H239" s="235"/>
    </row>
    <row r="240">
      <c r="A240" s="233"/>
      <c r="B240" s="181"/>
      <c r="C240" s="181"/>
      <c r="D240" s="181"/>
      <c r="F240" s="181"/>
      <c r="G240" s="181"/>
      <c r="H240" s="235"/>
    </row>
    <row r="241">
      <c r="A241" s="233"/>
      <c r="B241" s="181"/>
      <c r="C241" s="181"/>
      <c r="D241" s="181"/>
      <c r="F241" s="181"/>
      <c r="G241" s="181"/>
      <c r="H241" s="235"/>
    </row>
    <row r="242">
      <c r="A242" s="233"/>
      <c r="B242" s="181"/>
      <c r="C242" s="181"/>
      <c r="D242" s="181"/>
      <c r="F242" s="181"/>
      <c r="G242" s="181"/>
      <c r="H242" s="235"/>
    </row>
    <row r="243">
      <c r="A243" s="233"/>
      <c r="B243" s="181"/>
      <c r="C243" s="181"/>
      <c r="D243" s="181"/>
      <c r="F243" s="181"/>
      <c r="G243" s="181"/>
      <c r="H243" s="235"/>
    </row>
    <row r="244">
      <c r="A244" s="233"/>
      <c r="B244" s="181"/>
      <c r="C244" s="181"/>
      <c r="D244" s="181"/>
      <c r="F244" s="181"/>
      <c r="G244" s="181"/>
      <c r="H244" s="235"/>
    </row>
    <row r="245">
      <c r="A245" s="233"/>
      <c r="B245" s="181"/>
      <c r="C245" s="181"/>
      <c r="D245" s="181"/>
      <c r="F245" s="181"/>
      <c r="G245" s="181"/>
      <c r="H245" s="235"/>
    </row>
    <row r="246">
      <c r="A246" s="233"/>
      <c r="B246" s="181"/>
      <c r="C246" s="181"/>
      <c r="D246" s="181"/>
      <c r="F246" s="181"/>
      <c r="G246" s="181"/>
      <c r="H246" s="235"/>
    </row>
    <row r="247">
      <c r="A247" s="233"/>
      <c r="B247" s="181"/>
      <c r="C247" s="181"/>
      <c r="D247" s="181"/>
      <c r="F247" s="181"/>
      <c r="G247" s="181"/>
      <c r="H247" s="235"/>
    </row>
    <row r="248">
      <c r="A248" s="233"/>
      <c r="B248" s="181"/>
      <c r="C248" s="181"/>
      <c r="D248" s="181"/>
      <c r="F248" s="181"/>
      <c r="G248" s="181"/>
      <c r="H248" s="235"/>
    </row>
    <row r="249">
      <c r="A249" s="233"/>
      <c r="B249" s="181"/>
      <c r="C249" s="181"/>
      <c r="D249" s="181"/>
      <c r="F249" s="181"/>
      <c r="G249" s="181"/>
      <c r="H249" s="235"/>
    </row>
    <row r="250">
      <c r="A250" s="233"/>
      <c r="B250" s="181"/>
      <c r="C250" s="181"/>
      <c r="D250" s="181"/>
      <c r="F250" s="181"/>
      <c r="G250" s="181"/>
      <c r="H250" s="235"/>
    </row>
    <row r="251">
      <c r="A251" s="233"/>
      <c r="B251" s="181"/>
      <c r="C251" s="181"/>
      <c r="D251" s="181"/>
      <c r="F251" s="181"/>
      <c r="G251" s="181"/>
      <c r="H251" s="235"/>
    </row>
    <row r="252">
      <c r="A252" s="233"/>
      <c r="B252" s="181"/>
      <c r="C252" s="181"/>
      <c r="D252" s="181"/>
      <c r="F252" s="181"/>
      <c r="G252" s="181"/>
      <c r="H252" s="235"/>
    </row>
    <row r="253">
      <c r="A253" s="233"/>
      <c r="B253" s="181"/>
      <c r="C253" s="181"/>
      <c r="D253" s="181"/>
      <c r="F253" s="181"/>
      <c r="G253" s="181"/>
      <c r="H253" s="235"/>
    </row>
    <row r="254">
      <c r="A254" s="233"/>
      <c r="B254" s="181"/>
      <c r="C254" s="181"/>
      <c r="D254" s="181"/>
      <c r="F254" s="181"/>
      <c r="G254" s="181"/>
      <c r="H254" s="235"/>
    </row>
    <row r="255">
      <c r="A255" s="233"/>
      <c r="B255" s="181"/>
      <c r="C255" s="181"/>
      <c r="D255" s="181"/>
      <c r="F255" s="181"/>
      <c r="G255" s="181"/>
      <c r="H255" s="235"/>
    </row>
    <row r="256">
      <c r="A256" s="233"/>
      <c r="B256" s="181"/>
      <c r="C256" s="181"/>
      <c r="D256" s="181"/>
      <c r="F256" s="181"/>
      <c r="G256" s="181"/>
      <c r="H256" s="235"/>
    </row>
    <row r="257">
      <c r="A257" s="233"/>
      <c r="B257" s="181"/>
      <c r="C257" s="181"/>
      <c r="D257" s="181"/>
      <c r="F257" s="181"/>
      <c r="G257" s="181"/>
      <c r="H257" s="235"/>
    </row>
    <row r="258">
      <c r="A258" s="233"/>
      <c r="B258" s="181"/>
      <c r="C258" s="181"/>
      <c r="D258" s="181"/>
      <c r="F258" s="181"/>
      <c r="G258" s="181"/>
      <c r="H258" s="235"/>
    </row>
    <row r="259">
      <c r="A259" s="233"/>
      <c r="B259" s="181"/>
      <c r="C259" s="181"/>
      <c r="D259" s="181"/>
      <c r="F259" s="181"/>
      <c r="G259" s="181"/>
      <c r="H259" s="235"/>
    </row>
    <row r="260">
      <c r="A260" s="233"/>
      <c r="B260" s="181"/>
      <c r="C260" s="181"/>
      <c r="D260" s="181"/>
      <c r="F260" s="181"/>
      <c r="G260" s="181"/>
      <c r="H260" s="235"/>
    </row>
    <row r="261">
      <c r="A261" s="233"/>
      <c r="B261" s="181"/>
      <c r="C261" s="181"/>
      <c r="D261" s="181"/>
      <c r="F261" s="181"/>
      <c r="G261" s="181"/>
      <c r="H261" s="235"/>
    </row>
    <row r="262">
      <c r="A262" s="233"/>
      <c r="B262" s="181"/>
      <c r="C262" s="181"/>
      <c r="D262" s="181"/>
      <c r="F262" s="181"/>
      <c r="G262" s="181"/>
      <c r="H262" s="235"/>
    </row>
    <row r="263">
      <c r="A263" s="233"/>
      <c r="B263" s="181"/>
      <c r="C263" s="181"/>
      <c r="D263" s="181"/>
      <c r="F263" s="181"/>
      <c r="G263" s="181"/>
      <c r="H263" s="235"/>
    </row>
    <row r="264">
      <c r="A264" s="233"/>
      <c r="B264" s="181"/>
      <c r="C264" s="181"/>
      <c r="D264" s="181"/>
      <c r="F264" s="181"/>
      <c r="G264" s="181"/>
      <c r="H264" s="235"/>
    </row>
    <row r="265">
      <c r="A265" s="233"/>
      <c r="B265" s="181"/>
      <c r="C265" s="181"/>
      <c r="D265" s="181"/>
      <c r="F265" s="181"/>
      <c r="G265" s="181"/>
      <c r="H265" s="235"/>
    </row>
    <row r="266">
      <c r="A266" s="233"/>
      <c r="B266" s="181"/>
      <c r="C266" s="181"/>
      <c r="D266" s="181"/>
      <c r="F266" s="181"/>
      <c r="G266" s="181"/>
      <c r="H266" s="235"/>
    </row>
    <row r="267">
      <c r="A267" s="233"/>
      <c r="B267" s="181"/>
      <c r="C267" s="181"/>
      <c r="D267" s="181"/>
      <c r="F267" s="181"/>
      <c r="G267" s="181"/>
      <c r="H267" s="235"/>
    </row>
    <row r="268">
      <c r="A268" s="233"/>
      <c r="B268" s="181"/>
      <c r="C268" s="181"/>
      <c r="D268" s="181"/>
      <c r="F268" s="181"/>
      <c r="G268" s="181"/>
      <c r="H268" s="235"/>
    </row>
    <row r="269">
      <c r="A269" s="233"/>
      <c r="B269" s="181"/>
      <c r="C269" s="181"/>
      <c r="D269" s="181"/>
      <c r="F269" s="181"/>
      <c r="G269" s="181"/>
      <c r="H269" s="235"/>
    </row>
    <row r="270">
      <c r="A270" s="233"/>
      <c r="B270" s="181"/>
      <c r="C270" s="181"/>
      <c r="D270" s="181"/>
      <c r="F270" s="181"/>
      <c r="G270" s="181"/>
      <c r="H270" s="235"/>
    </row>
    <row r="271">
      <c r="A271" s="233"/>
      <c r="B271" s="181"/>
      <c r="C271" s="181"/>
      <c r="D271" s="181"/>
      <c r="F271" s="181"/>
      <c r="G271" s="181"/>
      <c r="H271" s="235"/>
    </row>
    <row r="272">
      <c r="A272" s="233"/>
      <c r="B272" s="181"/>
      <c r="C272" s="181"/>
      <c r="D272" s="181"/>
      <c r="F272" s="181"/>
      <c r="G272" s="181"/>
      <c r="H272" s="235"/>
    </row>
    <row r="273">
      <c r="A273" s="233"/>
      <c r="B273" s="181"/>
      <c r="C273" s="181"/>
      <c r="D273" s="181"/>
      <c r="F273" s="181"/>
      <c r="G273" s="181"/>
      <c r="H273" s="235"/>
    </row>
    <row r="274">
      <c r="A274" s="233"/>
      <c r="B274" s="181"/>
      <c r="C274" s="181"/>
      <c r="D274" s="181"/>
      <c r="F274" s="181"/>
      <c r="G274" s="181"/>
      <c r="H274" s="235"/>
    </row>
    <row r="275">
      <c r="A275" s="233"/>
      <c r="B275" s="181"/>
      <c r="C275" s="181"/>
      <c r="D275" s="181"/>
      <c r="F275" s="181"/>
      <c r="G275" s="181"/>
      <c r="H275" s="235"/>
    </row>
    <row r="276">
      <c r="A276" s="233"/>
      <c r="B276" s="181"/>
      <c r="C276" s="181"/>
      <c r="D276" s="181"/>
      <c r="F276" s="181"/>
      <c r="G276" s="181"/>
      <c r="H276" s="235"/>
    </row>
    <row r="277">
      <c r="A277" s="233"/>
      <c r="B277" s="181"/>
      <c r="C277" s="181"/>
      <c r="D277" s="181"/>
      <c r="F277" s="181"/>
      <c r="G277" s="181"/>
      <c r="H277" s="235"/>
    </row>
    <row r="278">
      <c r="A278" s="233"/>
      <c r="B278" s="181"/>
      <c r="C278" s="181"/>
      <c r="D278" s="181"/>
      <c r="F278" s="181"/>
      <c r="G278" s="181"/>
      <c r="H278" s="235"/>
    </row>
    <row r="279">
      <c r="A279" s="233"/>
      <c r="B279" s="181"/>
      <c r="C279" s="181"/>
      <c r="D279" s="181"/>
      <c r="F279" s="181"/>
      <c r="G279" s="181"/>
      <c r="H279" s="235"/>
    </row>
    <row r="280">
      <c r="A280" s="233"/>
      <c r="B280" s="181"/>
      <c r="C280" s="181"/>
      <c r="D280" s="181"/>
      <c r="F280" s="181"/>
      <c r="G280" s="181"/>
      <c r="H280" s="235"/>
    </row>
    <row r="281">
      <c r="A281" s="233"/>
      <c r="B281" s="181"/>
      <c r="C281" s="181"/>
      <c r="D281" s="181"/>
      <c r="F281" s="181"/>
      <c r="G281" s="181"/>
      <c r="H281" s="235"/>
    </row>
    <row r="282">
      <c r="A282" s="233"/>
      <c r="B282" s="181"/>
      <c r="C282" s="181"/>
      <c r="D282" s="181"/>
      <c r="F282" s="181"/>
      <c r="G282" s="181"/>
      <c r="H282" s="235"/>
    </row>
    <row r="283">
      <c r="A283" s="233"/>
      <c r="B283" s="181"/>
      <c r="C283" s="181"/>
      <c r="D283" s="181"/>
      <c r="F283" s="181"/>
      <c r="G283" s="181"/>
      <c r="H283" s="235"/>
    </row>
    <row r="284">
      <c r="A284" s="233"/>
      <c r="B284" s="181"/>
      <c r="C284" s="181"/>
      <c r="D284" s="181"/>
      <c r="F284" s="181"/>
      <c r="G284" s="181"/>
      <c r="H284" s="235"/>
    </row>
    <row r="285">
      <c r="A285" s="233"/>
      <c r="B285" s="181"/>
      <c r="C285" s="181"/>
      <c r="D285" s="181"/>
      <c r="F285" s="181"/>
      <c r="G285" s="181"/>
      <c r="H285" s="235"/>
    </row>
    <row r="286">
      <c r="A286" s="233"/>
      <c r="B286" s="181"/>
      <c r="C286" s="181"/>
      <c r="D286" s="181"/>
      <c r="F286" s="181"/>
      <c r="G286" s="181"/>
      <c r="H286" s="235"/>
    </row>
    <row r="287">
      <c r="A287" s="233"/>
      <c r="B287" s="181"/>
      <c r="C287" s="181"/>
      <c r="D287" s="181"/>
      <c r="F287" s="181"/>
      <c r="G287" s="181"/>
      <c r="H287" s="235"/>
    </row>
    <row r="288">
      <c r="A288" s="233"/>
      <c r="B288" s="181"/>
      <c r="C288" s="181"/>
      <c r="D288" s="181"/>
      <c r="F288" s="181"/>
      <c r="G288" s="181"/>
      <c r="H288" s="235"/>
    </row>
    <row r="289">
      <c r="A289" s="233"/>
      <c r="B289" s="181"/>
      <c r="C289" s="181"/>
      <c r="D289" s="181"/>
      <c r="F289" s="181"/>
      <c r="G289" s="181"/>
      <c r="H289" s="235"/>
    </row>
    <row r="290">
      <c r="A290" s="233"/>
      <c r="B290" s="181"/>
      <c r="C290" s="181"/>
      <c r="D290" s="181"/>
      <c r="F290" s="181"/>
      <c r="G290" s="181"/>
      <c r="H290" s="235"/>
    </row>
    <row r="291">
      <c r="A291" s="233"/>
      <c r="B291" s="181"/>
      <c r="C291" s="181"/>
      <c r="D291" s="181"/>
      <c r="F291" s="181"/>
      <c r="G291" s="181"/>
      <c r="H291" s="235"/>
    </row>
    <row r="292">
      <c r="A292" s="233"/>
      <c r="B292" s="181"/>
      <c r="C292" s="181"/>
      <c r="D292" s="181"/>
      <c r="F292" s="181"/>
      <c r="G292" s="181"/>
      <c r="H292" s="235"/>
    </row>
    <row r="293">
      <c r="A293" s="233"/>
      <c r="B293" s="181"/>
      <c r="C293" s="181"/>
      <c r="D293" s="181"/>
      <c r="F293" s="181"/>
      <c r="G293" s="181"/>
      <c r="H293" s="235"/>
    </row>
    <row r="294">
      <c r="A294" s="233"/>
      <c r="B294" s="181"/>
      <c r="C294" s="181"/>
      <c r="D294" s="181"/>
      <c r="F294" s="181"/>
      <c r="G294" s="181"/>
      <c r="H294" s="235"/>
    </row>
    <row r="295">
      <c r="A295" s="233"/>
      <c r="B295" s="181"/>
      <c r="C295" s="181"/>
      <c r="D295" s="181"/>
      <c r="F295" s="181"/>
      <c r="G295" s="181"/>
      <c r="H295" s="235"/>
    </row>
    <row r="296">
      <c r="A296" s="233"/>
      <c r="B296" s="181"/>
      <c r="C296" s="181"/>
      <c r="D296" s="181"/>
      <c r="F296" s="181"/>
      <c r="G296" s="181"/>
      <c r="H296" s="235"/>
    </row>
    <row r="297">
      <c r="A297" s="233"/>
      <c r="B297" s="181"/>
      <c r="C297" s="181"/>
      <c r="D297" s="181"/>
      <c r="F297" s="181"/>
      <c r="G297" s="181"/>
      <c r="H297" s="235"/>
    </row>
    <row r="298">
      <c r="A298" s="233"/>
      <c r="B298" s="181"/>
      <c r="C298" s="181"/>
      <c r="D298" s="181"/>
      <c r="F298" s="181"/>
      <c r="G298" s="181"/>
      <c r="H298" s="235"/>
    </row>
    <row r="299">
      <c r="A299" s="233"/>
      <c r="B299" s="181"/>
      <c r="C299" s="181"/>
      <c r="D299" s="181"/>
      <c r="F299" s="181"/>
      <c r="G299" s="181"/>
      <c r="H299" s="235"/>
    </row>
    <row r="300">
      <c r="A300" s="233"/>
      <c r="B300" s="181"/>
      <c r="C300" s="181"/>
      <c r="D300" s="181"/>
      <c r="F300" s="181"/>
      <c r="G300" s="181"/>
      <c r="H300" s="235"/>
    </row>
    <row r="301">
      <c r="A301" s="233"/>
      <c r="B301" s="181"/>
      <c r="C301" s="181"/>
      <c r="D301" s="181"/>
      <c r="F301" s="181"/>
      <c r="G301" s="181"/>
      <c r="H301" s="235"/>
    </row>
    <row r="302">
      <c r="A302" s="233"/>
      <c r="B302" s="181"/>
      <c r="C302" s="181"/>
      <c r="D302" s="181"/>
      <c r="F302" s="181"/>
      <c r="G302" s="181"/>
      <c r="H302" s="235"/>
    </row>
    <row r="303">
      <c r="A303" s="233"/>
      <c r="B303" s="181"/>
      <c r="C303" s="181"/>
      <c r="D303" s="181"/>
      <c r="F303" s="181"/>
      <c r="G303" s="181"/>
      <c r="H303" s="235"/>
    </row>
    <row r="304">
      <c r="A304" s="233"/>
      <c r="B304" s="181"/>
      <c r="C304" s="181"/>
      <c r="D304" s="181"/>
      <c r="F304" s="181"/>
      <c r="G304" s="181"/>
      <c r="H304" s="235"/>
    </row>
    <row r="305">
      <c r="A305" s="233"/>
      <c r="B305" s="181"/>
      <c r="C305" s="181"/>
      <c r="D305" s="181"/>
      <c r="F305" s="181"/>
      <c r="G305" s="181"/>
      <c r="H305" s="235"/>
    </row>
    <row r="306">
      <c r="A306" s="233"/>
      <c r="B306" s="181"/>
      <c r="C306" s="181"/>
      <c r="D306" s="181"/>
      <c r="F306" s="181"/>
      <c r="G306" s="181"/>
      <c r="H306" s="235"/>
    </row>
    <row r="307">
      <c r="A307" s="233"/>
      <c r="B307" s="181"/>
      <c r="C307" s="181"/>
      <c r="D307" s="181"/>
      <c r="F307" s="181"/>
      <c r="G307" s="181"/>
      <c r="H307" s="235"/>
    </row>
    <row r="308">
      <c r="A308" s="233"/>
      <c r="B308" s="181"/>
      <c r="C308" s="181"/>
      <c r="D308" s="181"/>
      <c r="F308" s="181"/>
      <c r="G308" s="181"/>
      <c r="H308" s="235"/>
    </row>
    <row r="309">
      <c r="A309" s="233"/>
      <c r="B309" s="181"/>
      <c r="C309" s="181"/>
      <c r="D309" s="181"/>
      <c r="F309" s="181"/>
      <c r="G309" s="181"/>
      <c r="H309" s="235"/>
    </row>
    <row r="310">
      <c r="A310" s="233"/>
      <c r="B310" s="181"/>
      <c r="C310" s="181"/>
      <c r="D310" s="181"/>
      <c r="F310" s="181"/>
      <c r="G310" s="181"/>
      <c r="H310" s="235"/>
    </row>
    <row r="311">
      <c r="A311" s="233"/>
      <c r="B311" s="181"/>
      <c r="C311" s="181"/>
      <c r="D311" s="181"/>
      <c r="F311" s="181"/>
      <c r="G311" s="181"/>
      <c r="H311" s="235"/>
    </row>
    <row r="312">
      <c r="A312" s="233"/>
      <c r="B312" s="181"/>
      <c r="C312" s="181"/>
      <c r="D312" s="181"/>
      <c r="F312" s="181"/>
      <c r="G312" s="181"/>
      <c r="H312" s="235"/>
    </row>
    <row r="313">
      <c r="A313" s="233"/>
      <c r="B313" s="181"/>
      <c r="C313" s="181"/>
      <c r="D313" s="181"/>
      <c r="F313" s="181"/>
      <c r="G313" s="181"/>
      <c r="H313" s="235"/>
    </row>
    <row r="314">
      <c r="A314" s="233"/>
      <c r="B314" s="181"/>
      <c r="C314" s="181"/>
      <c r="D314" s="181"/>
      <c r="F314" s="181"/>
      <c r="G314" s="181"/>
      <c r="H314" s="235"/>
    </row>
    <row r="315">
      <c r="A315" s="233"/>
      <c r="B315" s="181"/>
      <c r="C315" s="181"/>
      <c r="D315" s="181"/>
      <c r="F315" s="181"/>
      <c r="G315" s="181"/>
      <c r="H315" s="235"/>
    </row>
    <row r="316">
      <c r="A316" s="233"/>
      <c r="B316" s="181"/>
      <c r="C316" s="181"/>
      <c r="D316" s="181"/>
      <c r="F316" s="181"/>
      <c r="G316" s="181"/>
      <c r="H316" s="235"/>
    </row>
    <row r="317">
      <c r="A317" s="233"/>
      <c r="B317" s="181"/>
      <c r="C317" s="181"/>
      <c r="D317" s="181"/>
      <c r="F317" s="181"/>
      <c r="G317" s="181"/>
      <c r="H317" s="235"/>
    </row>
    <row r="318">
      <c r="A318" s="233"/>
      <c r="B318" s="181"/>
      <c r="C318" s="181"/>
      <c r="D318" s="181"/>
      <c r="F318" s="181"/>
      <c r="G318" s="181"/>
      <c r="H318" s="235"/>
    </row>
    <row r="319">
      <c r="A319" s="233"/>
      <c r="B319" s="181"/>
      <c r="C319" s="181"/>
      <c r="D319" s="181"/>
      <c r="F319" s="181"/>
      <c r="G319" s="181"/>
      <c r="H319" s="235"/>
    </row>
    <row r="320">
      <c r="A320" s="233"/>
      <c r="B320" s="181"/>
      <c r="C320" s="181"/>
      <c r="D320" s="181"/>
      <c r="F320" s="181"/>
      <c r="G320" s="181"/>
      <c r="H320" s="235"/>
    </row>
    <row r="321">
      <c r="A321" s="233"/>
      <c r="B321" s="181"/>
      <c r="C321" s="181"/>
      <c r="D321" s="181"/>
      <c r="F321" s="181"/>
      <c r="G321" s="181"/>
      <c r="H321" s="235"/>
    </row>
    <row r="322">
      <c r="A322" s="233"/>
      <c r="B322" s="181"/>
      <c r="C322" s="181"/>
      <c r="D322" s="181"/>
      <c r="F322" s="181"/>
      <c r="G322" s="181"/>
      <c r="H322" s="235"/>
    </row>
    <row r="323">
      <c r="A323" s="233"/>
      <c r="B323" s="181"/>
      <c r="C323" s="181"/>
      <c r="D323" s="181"/>
      <c r="F323" s="181"/>
      <c r="G323" s="181"/>
      <c r="H323" s="235"/>
    </row>
    <row r="324">
      <c r="A324" s="233"/>
      <c r="B324" s="181"/>
      <c r="C324" s="181"/>
      <c r="D324" s="181"/>
      <c r="F324" s="181"/>
      <c r="G324" s="181"/>
      <c r="H324" s="235"/>
    </row>
    <row r="325">
      <c r="A325" s="233"/>
      <c r="B325" s="181"/>
      <c r="C325" s="181"/>
      <c r="D325" s="181"/>
      <c r="F325" s="181"/>
      <c r="G325" s="181"/>
      <c r="H325" s="235"/>
    </row>
    <row r="326">
      <c r="A326" s="233"/>
      <c r="B326" s="181"/>
      <c r="C326" s="181"/>
      <c r="D326" s="181"/>
      <c r="F326" s="181"/>
      <c r="G326" s="181"/>
      <c r="H326" s="235"/>
    </row>
    <row r="327">
      <c r="A327" s="233"/>
      <c r="B327" s="181"/>
      <c r="C327" s="181"/>
      <c r="D327" s="181"/>
      <c r="F327" s="181"/>
      <c r="G327" s="181"/>
      <c r="H327" s="235"/>
    </row>
    <row r="328">
      <c r="A328" s="233"/>
      <c r="B328" s="181"/>
      <c r="C328" s="181"/>
      <c r="D328" s="181"/>
      <c r="F328" s="181"/>
      <c r="G328" s="181"/>
      <c r="H328" s="235"/>
    </row>
    <row r="329">
      <c r="A329" s="233"/>
      <c r="B329" s="181"/>
      <c r="C329" s="181"/>
      <c r="D329" s="181"/>
      <c r="F329" s="181"/>
      <c r="G329" s="181"/>
      <c r="H329" s="235"/>
    </row>
    <row r="330">
      <c r="A330" s="233"/>
      <c r="B330" s="181"/>
      <c r="C330" s="181"/>
      <c r="D330" s="181"/>
      <c r="F330" s="181"/>
      <c r="G330" s="181"/>
      <c r="H330" s="235"/>
    </row>
    <row r="331">
      <c r="A331" s="233"/>
      <c r="B331" s="181"/>
      <c r="C331" s="181"/>
      <c r="D331" s="181"/>
      <c r="F331" s="181"/>
      <c r="G331" s="181"/>
      <c r="H331" s="235"/>
    </row>
    <row r="332">
      <c r="A332" s="233"/>
      <c r="B332" s="181"/>
      <c r="C332" s="181"/>
      <c r="D332" s="181"/>
      <c r="F332" s="181"/>
      <c r="G332" s="181"/>
      <c r="H332" s="235"/>
    </row>
    <row r="333">
      <c r="A333" s="233"/>
      <c r="B333" s="181"/>
      <c r="C333" s="181"/>
      <c r="D333" s="181"/>
      <c r="F333" s="181"/>
      <c r="G333" s="181"/>
      <c r="H333" s="235"/>
    </row>
    <row r="334">
      <c r="A334" s="233"/>
      <c r="B334" s="181"/>
      <c r="C334" s="181"/>
      <c r="D334" s="181"/>
      <c r="F334" s="181"/>
      <c r="G334" s="181"/>
      <c r="H334" s="235"/>
    </row>
    <row r="335">
      <c r="A335" s="233"/>
      <c r="B335" s="181"/>
      <c r="C335" s="181"/>
      <c r="D335" s="181"/>
      <c r="F335" s="181"/>
      <c r="G335" s="181"/>
      <c r="H335" s="235"/>
    </row>
    <row r="336">
      <c r="A336" s="233"/>
      <c r="B336" s="181"/>
      <c r="C336" s="181"/>
      <c r="D336" s="181"/>
      <c r="F336" s="181"/>
      <c r="G336" s="181"/>
      <c r="H336" s="235"/>
    </row>
    <row r="337">
      <c r="A337" s="233"/>
      <c r="B337" s="181"/>
      <c r="C337" s="181"/>
      <c r="D337" s="181"/>
      <c r="F337" s="181"/>
      <c r="G337" s="181"/>
      <c r="H337" s="235"/>
    </row>
    <row r="338">
      <c r="A338" s="233"/>
      <c r="B338" s="181"/>
      <c r="C338" s="181"/>
      <c r="D338" s="181"/>
      <c r="F338" s="181"/>
      <c r="G338" s="181"/>
      <c r="H338" s="235"/>
    </row>
    <row r="339">
      <c r="A339" s="233"/>
      <c r="B339" s="181"/>
      <c r="C339" s="181"/>
      <c r="D339" s="181"/>
      <c r="F339" s="181"/>
      <c r="G339" s="181"/>
      <c r="H339" s="235"/>
    </row>
    <row r="340">
      <c r="A340" s="233"/>
      <c r="B340" s="181"/>
      <c r="C340" s="181"/>
      <c r="D340" s="181"/>
      <c r="F340" s="181"/>
      <c r="G340" s="181"/>
      <c r="H340" s="235"/>
    </row>
    <row r="341">
      <c r="A341" s="233"/>
      <c r="B341" s="181"/>
      <c r="C341" s="181"/>
      <c r="D341" s="181"/>
      <c r="F341" s="181"/>
      <c r="G341" s="181"/>
      <c r="H341" s="235"/>
    </row>
    <row r="342">
      <c r="A342" s="233"/>
      <c r="B342" s="181"/>
      <c r="C342" s="181"/>
      <c r="D342" s="181"/>
      <c r="F342" s="181"/>
      <c r="G342" s="181"/>
      <c r="H342" s="235"/>
    </row>
    <row r="343">
      <c r="A343" s="233"/>
      <c r="B343" s="181"/>
      <c r="C343" s="181"/>
      <c r="D343" s="181"/>
      <c r="F343" s="181"/>
      <c r="G343" s="181"/>
      <c r="H343" s="235"/>
    </row>
    <row r="344">
      <c r="A344" s="233"/>
      <c r="B344" s="181"/>
      <c r="C344" s="181"/>
      <c r="D344" s="181"/>
      <c r="F344" s="181"/>
      <c r="G344" s="181"/>
      <c r="H344" s="235"/>
    </row>
    <row r="345">
      <c r="A345" s="233"/>
      <c r="B345" s="181"/>
      <c r="C345" s="181"/>
      <c r="D345" s="181"/>
      <c r="F345" s="181"/>
      <c r="G345" s="181"/>
      <c r="H345" s="235"/>
    </row>
    <row r="346">
      <c r="A346" s="233"/>
      <c r="B346" s="181"/>
      <c r="C346" s="181"/>
      <c r="D346" s="181"/>
      <c r="F346" s="181"/>
      <c r="G346" s="181"/>
      <c r="H346" s="235"/>
    </row>
    <row r="347">
      <c r="A347" s="233"/>
      <c r="B347" s="181"/>
      <c r="C347" s="181"/>
      <c r="D347" s="181"/>
      <c r="F347" s="181"/>
      <c r="G347" s="181"/>
      <c r="H347" s="235"/>
    </row>
    <row r="348">
      <c r="A348" s="233"/>
      <c r="B348" s="181"/>
      <c r="C348" s="181"/>
      <c r="D348" s="181"/>
      <c r="F348" s="181"/>
      <c r="G348" s="181"/>
      <c r="H348" s="235"/>
    </row>
    <row r="349">
      <c r="A349" s="233"/>
      <c r="B349" s="181"/>
      <c r="C349" s="181"/>
      <c r="D349" s="181"/>
      <c r="F349" s="181"/>
      <c r="G349" s="181"/>
      <c r="H349" s="235"/>
    </row>
    <row r="350">
      <c r="A350" s="233"/>
      <c r="B350" s="181"/>
      <c r="C350" s="181"/>
      <c r="D350" s="181"/>
      <c r="F350" s="181"/>
      <c r="G350" s="181"/>
      <c r="H350" s="235"/>
    </row>
    <row r="351">
      <c r="A351" s="233"/>
      <c r="B351" s="181"/>
      <c r="C351" s="181"/>
      <c r="D351" s="181"/>
      <c r="F351" s="181"/>
      <c r="G351" s="181"/>
      <c r="H351" s="235"/>
    </row>
    <row r="352">
      <c r="A352" s="233"/>
      <c r="B352" s="181"/>
      <c r="C352" s="181"/>
      <c r="D352" s="181"/>
      <c r="F352" s="181"/>
      <c r="G352" s="181"/>
      <c r="H352" s="235"/>
    </row>
    <row r="353">
      <c r="A353" s="233"/>
      <c r="B353" s="181"/>
      <c r="C353" s="181"/>
      <c r="D353" s="181"/>
      <c r="F353" s="181"/>
      <c r="G353" s="181"/>
      <c r="H353" s="235"/>
    </row>
    <row r="354">
      <c r="A354" s="233"/>
      <c r="B354" s="181"/>
      <c r="C354" s="181"/>
      <c r="D354" s="181"/>
      <c r="F354" s="181"/>
      <c r="G354" s="181"/>
      <c r="H354" s="235"/>
    </row>
    <row r="355">
      <c r="A355" s="233"/>
      <c r="B355" s="181"/>
      <c r="C355" s="181"/>
      <c r="D355" s="181"/>
      <c r="F355" s="181"/>
      <c r="G355" s="181"/>
      <c r="H355" s="235"/>
    </row>
    <row r="356">
      <c r="A356" s="233"/>
      <c r="B356" s="181"/>
      <c r="C356" s="181"/>
      <c r="D356" s="181"/>
      <c r="F356" s="181"/>
      <c r="G356" s="181"/>
      <c r="H356" s="235"/>
    </row>
    <row r="357">
      <c r="A357" s="233"/>
      <c r="B357" s="181"/>
      <c r="C357" s="181"/>
      <c r="D357" s="181"/>
      <c r="F357" s="181"/>
      <c r="G357" s="181"/>
      <c r="H357" s="235"/>
    </row>
    <row r="358">
      <c r="A358" s="233"/>
      <c r="B358" s="181"/>
      <c r="C358" s="181"/>
      <c r="D358" s="181"/>
      <c r="F358" s="181"/>
      <c r="G358" s="181"/>
      <c r="H358" s="235"/>
    </row>
    <row r="359">
      <c r="A359" s="233"/>
      <c r="B359" s="181"/>
      <c r="C359" s="181"/>
      <c r="D359" s="181"/>
      <c r="F359" s="181"/>
      <c r="G359" s="181"/>
      <c r="H359" s="235"/>
    </row>
    <row r="360">
      <c r="A360" s="233"/>
      <c r="B360" s="181"/>
      <c r="C360" s="181"/>
      <c r="D360" s="181"/>
      <c r="F360" s="181"/>
      <c r="G360" s="181"/>
      <c r="H360" s="235"/>
    </row>
    <row r="361">
      <c r="A361" s="233"/>
      <c r="B361" s="181"/>
      <c r="C361" s="181"/>
      <c r="D361" s="181"/>
      <c r="F361" s="181"/>
      <c r="G361" s="181"/>
      <c r="H361" s="235"/>
    </row>
    <row r="362">
      <c r="A362" s="233"/>
      <c r="B362" s="181"/>
      <c r="C362" s="181"/>
      <c r="D362" s="181"/>
      <c r="F362" s="181"/>
      <c r="G362" s="181"/>
      <c r="H362" s="235"/>
    </row>
    <row r="363">
      <c r="A363" s="233"/>
      <c r="B363" s="181"/>
      <c r="C363" s="181"/>
      <c r="D363" s="181"/>
      <c r="F363" s="181"/>
      <c r="G363" s="181"/>
      <c r="H363" s="235"/>
    </row>
    <row r="364">
      <c r="A364" s="233"/>
      <c r="B364" s="181"/>
      <c r="C364" s="181"/>
      <c r="D364" s="181"/>
      <c r="F364" s="181"/>
      <c r="G364" s="181"/>
      <c r="H364" s="235"/>
    </row>
    <row r="365">
      <c r="A365" s="233"/>
      <c r="B365" s="181"/>
      <c r="C365" s="181"/>
      <c r="D365" s="181"/>
      <c r="F365" s="181"/>
      <c r="G365" s="181"/>
      <c r="H365" s="235"/>
    </row>
    <row r="366">
      <c r="A366" s="233"/>
      <c r="B366" s="181"/>
      <c r="C366" s="181"/>
      <c r="D366" s="181"/>
      <c r="F366" s="181"/>
      <c r="G366" s="181"/>
      <c r="H366" s="235"/>
    </row>
    <row r="367">
      <c r="A367" s="233"/>
      <c r="B367" s="181"/>
      <c r="C367" s="181"/>
      <c r="D367" s="181"/>
      <c r="F367" s="181"/>
      <c r="G367" s="181"/>
      <c r="H367" s="235"/>
    </row>
    <row r="368">
      <c r="A368" s="233"/>
      <c r="B368" s="181"/>
      <c r="C368" s="181"/>
      <c r="D368" s="181"/>
      <c r="F368" s="181"/>
      <c r="G368" s="181"/>
      <c r="H368" s="235"/>
    </row>
    <row r="369">
      <c r="A369" s="233"/>
      <c r="B369" s="181"/>
      <c r="C369" s="181"/>
      <c r="D369" s="181"/>
      <c r="F369" s="181"/>
      <c r="G369" s="181"/>
      <c r="H369" s="235"/>
    </row>
    <row r="370">
      <c r="A370" s="233"/>
      <c r="B370" s="181"/>
      <c r="C370" s="181"/>
      <c r="D370" s="181"/>
      <c r="F370" s="181"/>
      <c r="G370" s="181"/>
      <c r="H370" s="235"/>
    </row>
    <row r="371">
      <c r="A371" s="233"/>
      <c r="B371" s="181"/>
      <c r="C371" s="181"/>
      <c r="D371" s="181"/>
      <c r="F371" s="181"/>
      <c r="G371" s="181"/>
      <c r="H371" s="235"/>
    </row>
    <row r="372">
      <c r="A372" s="233"/>
      <c r="B372" s="181"/>
      <c r="C372" s="181"/>
      <c r="D372" s="181"/>
      <c r="F372" s="181"/>
      <c r="G372" s="181"/>
      <c r="H372" s="235"/>
    </row>
    <row r="373">
      <c r="A373" s="233"/>
      <c r="B373" s="181"/>
      <c r="C373" s="181"/>
      <c r="D373" s="181"/>
      <c r="F373" s="181"/>
      <c r="G373" s="181"/>
      <c r="H373" s="235"/>
    </row>
    <row r="374">
      <c r="A374" s="233"/>
      <c r="B374" s="181"/>
      <c r="C374" s="181"/>
      <c r="D374" s="181"/>
      <c r="F374" s="181"/>
      <c r="G374" s="181"/>
      <c r="H374" s="235"/>
    </row>
    <row r="375">
      <c r="A375" s="233"/>
      <c r="B375" s="181"/>
      <c r="C375" s="181"/>
      <c r="D375" s="181"/>
      <c r="F375" s="181"/>
      <c r="G375" s="181"/>
      <c r="H375" s="235"/>
    </row>
    <row r="376">
      <c r="A376" s="233"/>
      <c r="B376" s="181"/>
      <c r="C376" s="181"/>
      <c r="D376" s="181"/>
      <c r="F376" s="181"/>
      <c r="G376" s="181"/>
      <c r="H376" s="235"/>
    </row>
    <row r="377">
      <c r="A377" s="233"/>
      <c r="B377" s="181"/>
      <c r="C377" s="181"/>
      <c r="D377" s="181"/>
      <c r="F377" s="181"/>
      <c r="G377" s="181"/>
      <c r="H377" s="235"/>
    </row>
    <row r="378">
      <c r="A378" s="233"/>
      <c r="B378" s="181"/>
      <c r="C378" s="181"/>
      <c r="D378" s="181"/>
      <c r="F378" s="181"/>
      <c r="G378" s="181"/>
      <c r="H378" s="235"/>
    </row>
    <row r="379">
      <c r="A379" s="233"/>
      <c r="B379" s="181"/>
      <c r="C379" s="181"/>
      <c r="D379" s="181"/>
      <c r="F379" s="181"/>
      <c r="G379" s="181"/>
      <c r="H379" s="235"/>
    </row>
    <row r="380">
      <c r="A380" s="233"/>
      <c r="B380" s="181"/>
      <c r="C380" s="181"/>
      <c r="D380" s="181"/>
      <c r="F380" s="181"/>
      <c r="G380" s="181"/>
      <c r="H380" s="235"/>
    </row>
    <row r="381">
      <c r="A381" s="233"/>
      <c r="B381" s="181"/>
      <c r="C381" s="181"/>
      <c r="D381" s="181"/>
      <c r="F381" s="181"/>
      <c r="G381" s="181"/>
      <c r="H381" s="235"/>
    </row>
    <row r="382">
      <c r="A382" s="233"/>
      <c r="B382" s="181"/>
      <c r="C382" s="181"/>
      <c r="D382" s="181"/>
      <c r="F382" s="181"/>
      <c r="G382" s="181"/>
      <c r="H382" s="235"/>
    </row>
    <row r="383">
      <c r="A383" s="233"/>
      <c r="B383" s="181"/>
      <c r="C383" s="181"/>
      <c r="D383" s="181"/>
      <c r="F383" s="181"/>
      <c r="G383" s="181"/>
      <c r="H383" s="235"/>
    </row>
    <row r="384">
      <c r="A384" s="233"/>
      <c r="B384" s="181"/>
      <c r="C384" s="181"/>
      <c r="D384" s="181"/>
      <c r="F384" s="181"/>
      <c r="G384" s="181"/>
      <c r="H384" s="235"/>
    </row>
    <row r="385">
      <c r="A385" s="233"/>
      <c r="B385" s="181"/>
      <c r="C385" s="181"/>
      <c r="D385" s="181"/>
      <c r="F385" s="181"/>
      <c r="G385" s="181"/>
      <c r="H385" s="235"/>
    </row>
    <row r="386">
      <c r="A386" s="233"/>
      <c r="B386" s="181"/>
      <c r="C386" s="181"/>
      <c r="D386" s="181"/>
      <c r="F386" s="181"/>
      <c r="G386" s="181"/>
      <c r="H386" s="235"/>
    </row>
    <row r="387">
      <c r="A387" s="233"/>
      <c r="B387" s="181"/>
      <c r="C387" s="181"/>
      <c r="D387" s="181"/>
      <c r="F387" s="181"/>
      <c r="G387" s="181"/>
      <c r="H387" s="235"/>
    </row>
    <row r="388">
      <c r="A388" s="233"/>
      <c r="B388" s="181"/>
      <c r="C388" s="181"/>
      <c r="D388" s="181"/>
      <c r="F388" s="181"/>
      <c r="G388" s="181"/>
      <c r="H388" s="235"/>
    </row>
    <row r="389">
      <c r="A389" s="233"/>
      <c r="B389" s="181"/>
      <c r="C389" s="181"/>
      <c r="D389" s="181"/>
      <c r="F389" s="181"/>
      <c r="G389" s="181"/>
      <c r="H389" s="235"/>
    </row>
    <row r="390">
      <c r="A390" s="233"/>
      <c r="B390" s="181"/>
      <c r="C390" s="181"/>
      <c r="D390" s="181"/>
      <c r="F390" s="181"/>
      <c r="G390" s="181"/>
      <c r="H390" s="235"/>
    </row>
    <row r="391">
      <c r="A391" s="233"/>
      <c r="B391" s="181"/>
      <c r="C391" s="181"/>
      <c r="D391" s="181"/>
      <c r="F391" s="181"/>
      <c r="G391" s="181"/>
      <c r="H391" s="235"/>
    </row>
    <row r="392">
      <c r="A392" s="233"/>
      <c r="B392" s="181"/>
      <c r="C392" s="181"/>
      <c r="D392" s="181"/>
      <c r="F392" s="181"/>
      <c r="G392" s="181"/>
      <c r="H392" s="235"/>
    </row>
    <row r="393">
      <c r="A393" s="233"/>
      <c r="B393" s="181"/>
      <c r="C393" s="181"/>
      <c r="D393" s="181"/>
      <c r="F393" s="181"/>
      <c r="G393" s="181"/>
      <c r="H393" s="235"/>
    </row>
    <row r="394">
      <c r="A394" s="233"/>
      <c r="B394" s="181"/>
      <c r="C394" s="181"/>
      <c r="D394" s="181"/>
      <c r="F394" s="181"/>
      <c r="G394" s="181"/>
      <c r="H394" s="235"/>
    </row>
    <row r="395">
      <c r="A395" s="233"/>
      <c r="B395" s="181"/>
      <c r="C395" s="181"/>
      <c r="D395" s="181"/>
      <c r="F395" s="181"/>
      <c r="G395" s="181"/>
      <c r="H395" s="235"/>
    </row>
    <row r="396">
      <c r="A396" s="233"/>
      <c r="B396" s="181"/>
      <c r="C396" s="181"/>
      <c r="D396" s="181"/>
      <c r="F396" s="181"/>
      <c r="G396" s="181"/>
      <c r="H396" s="235"/>
    </row>
    <row r="397">
      <c r="A397" s="233"/>
      <c r="B397" s="181"/>
      <c r="C397" s="181"/>
      <c r="D397" s="181"/>
      <c r="F397" s="181"/>
      <c r="G397" s="181"/>
      <c r="H397" s="235"/>
    </row>
    <row r="398">
      <c r="A398" s="233"/>
      <c r="B398" s="181"/>
      <c r="C398" s="181"/>
      <c r="D398" s="181"/>
      <c r="F398" s="181"/>
      <c r="G398" s="181"/>
      <c r="H398" s="235"/>
    </row>
    <row r="399">
      <c r="A399" s="233"/>
      <c r="B399" s="181"/>
      <c r="C399" s="181"/>
      <c r="D399" s="181"/>
      <c r="F399" s="181"/>
      <c r="G399" s="181"/>
      <c r="H399" s="235"/>
    </row>
    <row r="400">
      <c r="A400" s="233"/>
      <c r="B400" s="181"/>
      <c r="C400" s="181"/>
      <c r="D400" s="181"/>
      <c r="F400" s="181"/>
      <c r="G400" s="181"/>
      <c r="H400" s="235"/>
    </row>
    <row r="401">
      <c r="A401" s="233"/>
      <c r="B401" s="181"/>
      <c r="C401" s="181"/>
      <c r="D401" s="181"/>
      <c r="F401" s="181"/>
      <c r="G401" s="181"/>
      <c r="H401" s="235"/>
    </row>
    <row r="402">
      <c r="A402" s="233"/>
      <c r="B402" s="181"/>
      <c r="C402" s="181"/>
      <c r="D402" s="181"/>
      <c r="F402" s="181"/>
      <c r="G402" s="181"/>
      <c r="H402" s="235"/>
    </row>
    <row r="403">
      <c r="A403" s="233"/>
      <c r="B403" s="181"/>
      <c r="C403" s="181"/>
      <c r="D403" s="181"/>
      <c r="F403" s="181"/>
      <c r="G403" s="181"/>
      <c r="H403" s="235"/>
    </row>
    <row r="404">
      <c r="A404" s="233"/>
      <c r="B404" s="181"/>
      <c r="C404" s="181"/>
      <c r="D404" s="181"/>
      <c r="F404" s="181"/>
      <c r="G404" s="181"/>
      <c r="H404" s="235"/>
    </row>
    <row r="405">
      <c r="A405" s="233"/>
      <c r="B405" s="181"/>
      <c r="C405" s="181"/>
      <c r="D405" s="181"/>
      <c r="F405" s="181"/>
      <c r="G405" s="181"/>
      <c r="H405" s="235"/>
    </row>
    <row r="406">
      <c r="A406" s="233"/>
      <c r="B406" s="181"/>
      <c r="C406" s="181"/>
      <c r="D406" s="181"/>
      <c r="F406" s="181"/>
      <c r="G406" s="181"/>
      <c r="H406" s="235"/>
    </row>
    <row r="407">
      <c r="A407" s="233"/>
      <c r="B407" s="181"/>
      <c r="C407" s="181"/>
      <c r="D407" s="181"/>
      <c r="F407" s="181"/>
      <c r="G407" s="181"/>
      <c r="H407" s="235"/>
    </row>
    <row r="408">
      <c r="A408" s="233"/>
      <c r="B408" s="181"/>
      <c r="C408" s="181"/>
      <c r="D408" s="181"/>
      <c r="F408" s="181"/>
      <c r="G408" s="181"/>
      <c r="H408" s="235"/>
    </row>
    <row r="409">
      <c r="A409" s="233"/>
      <c r="B409" s="181"/>
      <c r="C409" s="181"/>
      <c r="D409" s="181"/>
      <c r="F409" s="181"/>
      <c r="G409" s="181"/>
      <c r="H409" s="235"/>
    </row>
    <row r="410">
      <c r="A410" s="233"/>
      <c r="B410" s="181"/>
      <c r="C410" s="181"/>
      <c r="D410" s="181"/>
      <c r="F410" s="181"/>
      <c r="G410" s="181"/>
      <c r="H410" s="235"/>
    </row>
    <row r="411">
      <c r="A411" s="233"/>
      <c r="B411" s="181"/>
      <c r="C411" s="181"/>
      <c r="D411" s="181"/>
      <c r="F411" s="181"/>
      <c r="G411" s="181"/>
      <c r="H411" s="235"/>
    </row>
    <row r="412">
      <c r="A412" s="233"/>
      <c r="B412" s="181"/>
      <c r="C412" s="181"/>
      <c r="D412" s="181"/>
      <c r="F412" s="181"/>
      <c r="G412" s="181"/>
      <c r="H412" s="235"/>
    </row>
    <row r="413">
      <c r="A413" s="233"/>
      <c r="B413" s="181"/>
      <c r="C413" s="181"/>
      <c r="D413" s="181"/>
      <c r="F413" s="181"/>
      <c r="G413" s="181"/>
      <c r="H413" s="235"/>
    </row>
    <row r="414">
      <c r="A414" s="233"/>
      <c r="B414" s="181"/>
      <c r="C414" s="181"/>
      <c r="D414" s="181"/>
      <c r="F414" s="181"/>
      <c r="G414" s="181"/>
      <c r="H414" s="235"/>
    </row>
    <row r="415">
      <c r="A415" s="233"/>
      <c r="B415" s="181"/>
      <c r="C415" s="181"/>
      <c r="D415" s="181"/>
      <c r="F415" s="181"/>
      <c r="G415" s="181"/>
      <c r="H415" s="235"/>
    </row>
    <row r="416">
      <c r="A416" s="233"/>
      <c r="B416" s="181"/>
      <c r="C416" s="181"/>
      <c r="D416" s="181"/>
      <c r="F416" s="181"/>
      <c r="G416" s="181"/>
      <c r="H416" s="235"/>
    </row>
    <row r="417">
      <c r="A417" s="233"/>
      <c r="B417" s="181"/>
      <c r="C417" s="181"/>
      <c r="D417" s="181"/>
      <c r="F417" s="181"/>
      <c r="G417" s="181"/>
      <c r="H417" s="235"/>
    </row>
    <row r="418">
      <c r="A418" s="233"/>
      <c r="B418" s="181"/>
      <c r="C418" s="181"/>
      <c r="D418" s="181"/>
      <c r="F418" s="181"/>
      <c r="G418" s="181"/>
      <c r="H418" s="235"/>
    </row>
    <row r="419">
      <c r="A419" s="233"/>
      <c r="B419" s="181"/>
      <c r="C419" s="181"/>
      <c r="D419" s="181"/>
      <c r="F419" s="181"/>
      <c r="G419" s="181"/>
      <c r="H419" s="235"/>
    </row>
    <row r="420">
      <c r="A420" s="233"/>
      <c r="B420" s="181"/>
      <c r="C420" s="181"/>
      <c r="D420" s="181"/>
      <c r="F420" s="181"/>
      <c r="G420" s="181"/>
      <c r="H420" s="235"/>
    </row>
    <row r="421">
      <c r="A421" s="233"/>
      <c r="B421" s="181"/>
      <c r="C421" s="181"/>
      <c r="D421" s="181"/>
      <c r="F421" s="181"/>
      <c r="G421" s="181"/>
      <c r="H421" s="235"/>
    </row>
    <row r="422">
      <c r="A422" s="233"/>
      <c r="B422" s="181"/>
      <c r="C422" s="181"/>
      <c r="D422" s="181"/>
      <c r="F422" s="181"/>
      <c r="G422" s="181"/>
      <c r="H422" s="235"/>
    </row>
    <row r="423">
      <c r="A423" s="233"/>
      <c r="B423" s="181"/>
      <c r="C423" s="181"/>
      <c r="D423" s="181"/>
      <c r="F423" s="181"/>
      <c r="G423" s="181"/>
      <c r="H423" s="235"/>
    </row>
    <row r="424">
      <c r="A424" s="233"/>
      <c r="B424" s="181"/>
      <c r="C424" s="181"/>
      <c r="D424" s="181"/>
      <c r="F424" s="181"/>
      <c r="G424" s="181"/>
      <c r="H424" s="235"/>
    </row>
    <row r="425">
      <c r="A425" s="233"/>
      <c r="B425" s="181"/>
      <c r="C425" s="181"/>
      <c r="D425" s="181"/>
      <c r="F425" s="181"/>
      <c r="G425" s="181"/>
      <c r="H425" s="235"/>
    </row>
    <row r="426">
      <c r="A426" s="233"/>
      <c r="B426" s="181"/>
      <c r="C426" s="181"/>
      <c r="D426" s="181"/>
      <c r="F426" s="181"/>
      <c r="G426" s="181"/>
      <c r="H426" s="235"/>
    </row>
    <row r="427">
      <c r="A427" s="233"/>
      <c r="B427" s="181"/>
      <c r="C427" s="181"/>
      <c r="D427" s="181"/>
      <c r="F427" s="181"/>
      <c r="G427" s="181"/>
      <c r="H427" s="235"/>
    </row>
    <row r="428">
      <c r="A428" s="233"/>
      <c r="B428" s="181"/>
      <c r="C428" s="181"/>
      <c r="D428" s="181"/>
      <c r="F428" s="181"/>
      <c r="G428" s="181"/>
      <c r="H428" s="235"/>
    </row>
    <row r="429">
      <c r="A429" s="233"/>
      <c r="B429" s="181"/>
      <c r="C429" s="181"/>
      <c r="D429" s="181"/>
      <c r="F429" s="181"/>
      <c r="G429" s="181"/>
      <c r="H429" s="235"/>
    </row>
    <row r="430">
      <c r="A430" s="233"/>
      <c r="B430" s="181"/>
      <c r="C430" s="181"/>
      <c r="D430" s="181"/>
      <c r="F430" s="181"/>
      <c r="G430" s="181"/>
      <c r="H430" s="235"/>
    </row>
    <row r="431">
      <c r="A431" s="233"/>
      <c r="B431" s="181"/>
      <c r="C431" s="181"/>
      <c r="D431" s="181"/>
      <c r="F431" s="181"/>
      <c r="G431" s="181"/>
      <c r="H431" s="235"/>
    </row>
    <row r="432">
      <c r="A432" s="233"/>
      <c r="B432" s="181"/>
      <c r="C432" s="181"/>
      <c r="D432" s="181"/>
      <c r="F432" s="181"/>
      <c r="G432" s="181"/>
      <c r="H432" s="235"/>
    </row>
    <row r="433">
      <c r="A433" s="233"/>
      <c r="B433" s="181"/>
      <c r="C433" s="181"/>
      <c r="D433" s="181"/>
      <c r="F433" s="181"/>
      <c r="G433" s="181"/>
      <c r="H433" s="235"/>
    </row>
    <row r="434">
      <c r="A434" s="233"/>
      <c r="B434" s="181"/>
      <c r="C434" s="181"/>
      <c r="D434" s="181"/>
      <c r="F434" s="181"/>
      <c r="G434" s="181"/>
      <c r="H434" s="235"/>
    </row>
    <row r="435">
      <c r="A435" s="233"/>
      <c r="B435" s="181"/>
      <c r="C435" s="181"/>
      <c r="D435" s="181"/>
      <c r="F435" s="181"/>
      <c r="G435" s="181"/>
      <c r="H435" s="235"/>
    </row>
    <row r="436">
      <c r="A436" s="233"/>
      <c r="B436" s="181"/>
      <c r="C436" s="181"/>
      <c r="D436" s="181"/>
      <c r="F436" s="181"/>
      <c r="G436" s="181"/>
      <c r="H436" s="235"/>
    </row>
    <row r="437">
      <c r="A437" s="233"/>
      <c r="B437" s="181"/>
      <c r="C437" s="181"/>
      <c r="D437" s="181"/>
      <c r="F437" s="181"/>
      <c r="G437" s="181"/>
      <c r="H437" s="235"/>
    </row>
    <row r="438">
      <c r="A438" s="233"/>
      <c r="B438" s="181"/>
      <c r="C438" s="181"/>
      <c r="D438" s="181"/>
      <c r="F438" s="181"/>
      <c r="G438" s="181"/>
      <c r="H438" s="235"/>
    </row>
    <row r="439">
      <c r="A439" s="233"/>
      <c r="B439" s="181"/>
      <c r="C439" s="181"/>
      <c r="D439" s="181"/>
      <c r="F439" s="181"/>
      <c r="G439" s="181"/>
      <c r="H439" s="235"/>
    </row>
    <row r="440">
      <c r="A440" s="233"/>
      <c r="B440" s="181"/>
      <c r="C440" s="181"/>
      <c r="D440" s="181"/>
      <c r="F440" s="181"/>
      <c r="G440" s="181"/>
      <c r="H440" s="235"/>
    </row>
    <row r="441">
      <c r="A441" s="233"/>
      <c r="B441" s="181"/>
      <c r="C441" s="181"/>
      <c r="D441" s="181"/>
      <c r="F441" s="181"/>
      <c r="G441" s="181"/>
      <c r="H441" s="235"/>
    </row>
    <row r="442">
      <c r="A442" s="233"/>
      <c r="B442" s="181"/>
      <c r="C442" s="181"/>
      <c r="D442" s="181"/>
      <c r="F442" s="181"/>
      <c r="G442" s="181"/>
      <c r="H442" s="235"/>
    </row>
    <row r="443">
      <c r="A443" s="233"/>
      <c r="B443" s="181"/>
      <c r="C443" s="181"/>
      <c r="D443" s="181"/>
      <c r="F443" s="181"/>
      <c r="G443" s="181"/>
      <c r="H443" s="235"/>
    </row>
    <row r="444">
      <c r="A444" s="233"/>
      <c r="B444" s="181"/>
      <c r="C444" s="181"/>
      <c r="D444" s="181"/>
      <c r="F444" s="181"/>
      <c r="G444" s="181"/>
      <c r="H444" s="235"/>
    </row>
    <row r="445">
      <c r="A445" s="233"/>
      <c r="B445" s="181"/>
      <c r="C445" s="181"/>
      <c r="D445" s="181"/>
      <c r="F445" s="181"/>
      <c r="G445" s="181"/>
      <c r="H445" s="235"/>
    </row>
    <row r="446">
      <c r="A446" s="233"/>
      <c r="B446" s="181"/>
      <c r="C446" s="181"/>
      <c r="D446" s="181"/>
      <c r="F446" s="181"/>
      <c r="G446" s="181"/>
      <c r="H446" s="235"/>
    </row>
    <row r="447">
      <c r="A447" s="233"/>
      <c r="B447" s="181"/>
      <c r="C447" s="181"/>
      <c r="D447" s="181"/>
      <c r="F447" s="181"/>
      <c r="G447" s="181"/>
      <c r="H447" s="235"/>
    </row>
    <row r="448">
      <c r="A448" s="233"/>
      <c r="B448" s="181"/>
      <c r="C448" s="181"/>
      <c r="D448" s="181"/>
      <c r="F448" s="181"/>
      <c r="G448" s="181"/>
      <c r="H448" s="235"/>
    </row>
    <row r="449">
      <c r="A449" s="233"/>
      <c r="B449" s="181"/>
      <c r="C449" s="181"/>
      <c r="D449" s="181"/>
      <c r="F449" s="181"/>
      <c r="G449" s="181"/>
      <c r="H449" s="235"/>
    </row>
    <row r="450">
      <c r="A450" s="233"/>
      <c r="B450" s="181"/>
      <c r="C450" s="181"/>
      <c r="D450" s="181"/>
      <c r="F450" s="181"/>
      <c r="G450" s="181"/>
      <c r="H450" s="235"/>
    </row>
    <row r="451">
      <c r="A451" s="233"/>
      <c r="B451" s="181"/>
      <c r="C451" s="181"/>
      <c r="D451" s="181"/>
      <c r="F451" s="181"/>
      <c r="G451" s="181"/>
      <c r="H451" s="235"/>
    </row>
    <row r="452">
      <c r="A452" s="233"/>
      <c r="B452" s="181"/>
      <c r="C452" s="181"/>
      <c r="D452" s="181"/>
      <c r="F452" s="181"/>
      <c r="G452" s="181"/>
      <c r="H452" s="235"/>
    </row>
    <row r="453">
      <c r="A453" s="233"/>
      <c r="B453" s="181"/>
      <c r="C453" s="181"/>
      <c r="D453" s="181"/>
      <c r="F453" s="181"/>
      <c r="G453" s="181"/>
      <c r="H453" s="235"/>
    </row>
    <row r="454">
      <c r="A454" s="233"/>
      <c r="B454" s="181"/>
      <c r="C454" s="181"/>
      <c r="D454" s="181"/>
      <c r="F454" s="181"/>
      <c r="G454" s="181"/>
      <c r="H454" s="235"/>
    </row>
    <row r="455">
      <c r="A455" s="233"/>
      <c r="B455" s="181"/>
      <c r="C455" s="181"/>
      <c r="D455" s="181"/>
      <c r="F455" s="181"/>
      <c r="G455" s="181"/>
      <c r="H455" s="235"/>
    </row>
    <row r="456">
      <c r="A456" s="233"/>
      <c r="B456" s="181"/>
      <c r="C456" s="181"/>
      <c r="D456" s="181"/>
      <c r="F456" s="181"/>
      <c r="G456" s="181"/>
      <c r="H456" s="235"/>
    </row>
    <row r="457">
      <c r="A457" s="233"/>
      <c r="B457" s="181"/>
      <c r="C457" s="181"/>
      <c r="D457" s="181"/>
      <c r="F457" s="181"/>
      <c r="G457" s="181"/>
      <c r="H457" s="235"/>
    </row>
    <row r="458">
      <c r="A458" s="233"/>
      <c r="B458" s="181"/>
      <c r="C458" s="181"/>
      <c r="D458" s="181"/>
      <c r="F458" s="181"/>
      <c r="G458" s="181"/>
      <c r="H458" s="235"/>
    </row>
    <row r="459">
      <c r="A459" s="233"/>
      <c r="B459" s="181"/>
      <c r="C459" s="181"/>
      <c r="D459" s="181"/>
      <c r="F459" s="181"/>
      <c r="G459" s="181"/>
      <c r="H459" s="235"/>
    </row>
    <row r="460">
      <c r="A460" s="233"/>
      <c r="B460" s="181"/>
      <c r="C460" s="181"/>
      <c r="D460" s="181"/>
      <c r="F460" s="181"/>
      <c r="G460" s="181"/>
      <c r="H460" s="235"/>
    </row>
    <row r="461">
      <c r="A461" s="233"/>
      <c r="B461" s="181"/>
      <c r="C461" s="181"/>
      <c r="D461" s="181"/>
      <c r="F461" s="181"/>
      <c r="G461" s="181"/>
      <c r="H461" s="235"/>
    </row>
    <row r="462">
      <c r="A462" s="233"/>
      <c r="B462" s="181"/>
      <c r="C462" s="181"/>
      <c r="D462" s="181"/>
      <c r="F462" s="181"/>
      <c r="G462" s="181"/>
      <c r="H462" s="235"/>
    </row>
    <row r="463">
      <c r="A463" s="233"/>
      <c r="B463" s="181"/>
      <c r="C463" s="181"/>
      <c r="D463" s="181"/>
      <c r="F463" s="181"/>
      <c r="G463" s="181"/>
      <c r="H463" s="235"/>
    </row>
    <row r="464">
      <c r="A464" s="233"/>
      <c r="B464" s="181"/>
      <c r="C464" s="181"/>
      <c r="D464" s="181"/>
      <c r="F464" s="181"/>
      <c r="G464" s="181"/>
      <c r="H464" s="235"/>
    </row>
    <row r="465">
      <c r="A465" s="233"/>
      <c r="B465" s="181"/>
      <c r="C465" s="181"/>
      <c r="D465" s="181"/>
      <c r="F465" s="181"/>
      <c r="G465" s="181"/>
      <c r="H465" s="235"/>
    </row>
    <row r="466">
      <c r="A466" s="233"/>
      <c r="B466" s="181"/>
      <c r="C466" s="181"/>
      <c r="D466" s="181"/>
      <c r="F466" s="181"/>
      <c r="G466" s="181"/>
      <c r="H466" s="235"/>
    </row>
    <row r="467">
      <c r="A467" s="233"/>
      <c r="B467" s="181"/>
      <c r="C467" s="181"/>
      <c r="D467" s="181"/>
      <c r="F467" s="181"/>
      <c r="G467" s="181"/>
      <c r="H467" s="235"/>
    </row>
    <row r="468">
      <c r="A468" s="233"/>
      <c r="B468" s="181"/>
      <c r="C468" s="181"/>
      <c r="D468" s="181"/>
      <c r="F468" s="181"/>
      <c r="G468" s="181"/>
      <c r="H468" s="235"/>
    </row>
    <row r="469">
      <c r="A469" s="233"/>
      <c r="B469" s="181"/>
      <c r="C469" s="181"/>
      <c r="D469" s="181"/>
      <c r="F469" s="181"/>
      <c r="G469" s="181"/>
      <c r="H469" s="235"/>
    </row>
    <row r="470">
      <c r="A470" s="233"/>
      <c r="B470" s="181"/>
      <c r="C470" s="181"/>
      <c r="D470" s="181"/>
      <c r="F470" s="181"/>
      <c r="G470" s="181"/>
      <c r="H470" s="235"/>
    </row>
    <row r="471">
      <c r="A471" s="233"/>
      <c r="B471" s="181"/>
      <c r="C471" s="181"/>
      <c r="D471" s="181"/>
      <c r="F471" s="181"/>
      <c r="G471" s="181"/>
      <c r="H471" s="235"/>
    </row>
    <row r="472">
      <c r="A472" s="233"/>
      <c r="B472" s="181"/>
      <c r="C472" s="181"/>
      <c r="D472" s="181"/>
      <c r="F472" s="181"/>
      <c r="G472" s="181"/>
      <c r="H472" s="235"/>
    </row>
    <row r="473">
      <c r="A473" s="233"/>
      <c r="B473" s="181"/>
      <c r="C473" s="181"/>
      <c r="D473" s="181"/>
      <c r="F473" s="181"/>
      <c r="G473" s="181"/>
      <c r="H473" s="235"/>
    </row>
    <row r="474">
      <c r="A474" s="233"/>
      <c r="B474" s="181"/>
      <c r="C474" s="181"/>
      <c r="D474" s="181"/>
      <c r="F474" s="181"/>
      <c r="G474" s="181"/>
      <c r="H474" s="235"/>
    </row>
    <row r="475">
      <c r="A475" s="233"/>
      <c r="B475" s="181"/>
      <c r="C475" s="181"/>
      <c r="D475" s="181"/>
      <c r="F475" s="181"/>
      <c r="G475" s="181"/>
      <c r="H475" s="235"/>
    </row>
    <row r="476">
      <c r="A476" s="233"/>
      <c r="B476" s="181"/>
      <c r="C476" s="181"/>
      <c r="D476" s="181"/>
      <c r="F476" s="181"/>
      <c r="G476" s="181"/>
      <c r="H476" s="235"/>
    </row>
    <row r="477">
      <c r="A477" s="233"/>
      <c r="B477" s="181"/>
      <c r="C477" s="181"/>
      <c r="D477" s="181"/>
      <c r="F477" s="181"/>
      <c r="G477" s="181"/>
      <c r="H477" s="235"/>
    </row>
    <row r="478">
      <c r="A478" s="233"/>
      <c r="B478" s="181"/>
      <c r="C478" s="181"/>
      <c r="D478" s="181"/>
      <c r="F478" s="181"/>
      <c r="G478" s="181"/>
      <c r="H478" s="235"/>
    </row>
    <row r="479">
      <c r="A479" s="233"/>
      <c r="B479" s="181"/>
      <c r="C479" s="181"/>
      <c r="D479" s="181"/>
      <c r="F479" s="181"/>
      <c r="G479" s="181"/>
      <c r="H479" s="235"/>
    </row>
    <row r="480">
      <c r="A480" s="233"/>
      <c r="B480" s="181"/>
      <c r="C480" s="181"/>
      <c r="D480" s="181"/>
      <c r="F480" s="181"/>
      <c r="G480" s="181"/>
      <c r="H480" s="235"/>
    </row>
    <row r="481">
      <c r="A481" s="233"/>
      <c r="B481" s="181"/>
      <c r="C481" s="181"/>
      <c r="D481" s="181"/>
      <c r="F481" s="181"/>
      <c r="G481" s="181"/>
      <c r="H481" s="235"/>
    </row>
    <row r="482">
      <c r="A482" s="233"/>
      <c r="B482" s="181"/>
      <c r="C482" s="181"/>
      <c r="D482" s="181"/>
      <c r="F482" s="181"/>
      <c r="G482" s="181"/>
      <c r="H482" s="235"/>
    </row>
    <row r="483">
      <c r="A483" s="233"/>
      <c r="B483" s="181"/>
      <c r="C483" s="181"/>
      <c r="D483" s="181"/>
      <c r="F483" s="181"/>
      <c r="G483" s="181"/>
      <c r="H483" s="235"/>
    </row>
    <row r="484">
      <c r="A484" s="233"/>
      <c r="B484" s="181"/>
      <c r="C484" s="181"/>
      <c r="D484" s="181"/>
      <c r="F484" s="181"/>
      <c r="G484" s="181"/>
      <c r="H484" s="235"/>
    </row>
    <row r="485">
      <c r="A485" s="233"/>
      <c r="B485" s="181"/>
      <c r="C485" s="181"/>
      <c r="D485" s="181"/>
      <c r="F485" s="181"/>
      <c r="G485" s="181"/>
      <c r="H485" s="235"/>
    </row>
    <row r="486">
      <c r="A486" s="233"/>
      <c r="B486" s="181"/>
      <c r="C486" s="181"/>
      <c r="D486" s="181"/>
      <c r="F486" s="181"/>
      <c r="G486" s="181"/>
      <c r="H486" s="235"/>
    </row>
    <row r="487">
      <c r="A487" s="233"/>
      <c r="B487" s="181"/>
      <c r="C487" s="181"/>
      <c r="D487" s="181"/>
      <c r="F487" s="181"/>
      <c r="G487" s="181"/>
      <c r="H487" s="235"/>
    </row>
    <row r="488">
      <c r="A488" s="233"/>
      <c r="B488" s="181"/>
      <c r="C488" s="181"/>
      <c r="D488" s="181"/>
      <c r="F488" s="181"/>
      <c r="G488" s="181"/>
      <c r="H488" s="235"/>
    </row>
    <row r="489">
      <c r="A489" s="233"/>
      <c r="B489" s="181"/>
      <c r="C489" s="181"/>
      <c r="D489" s="181"/>
      <c r="F489" s="181"/>
      <c r="G489" s="181"/>
      <c r="H489" s="235"/>
    </row>
    <row r="490">
      <c r="A490" s="233"/>
      <c r="B490" s="181"/>
      <c r="C490" s="181"/>
      <c r="D490" s="181"/>
      <c r="F490" s="181"/>
      <c r="G490" s="181"/>
      <c r="H490" s="235"/>
    </row>
    <row r="491">
      <c r="A491" s="233"/>
      <c r="B491" s="181"/>
      <c r="C491" s="181"/>
      <c r="D491" s="181"/>
      <c r="F491" s="181"/>
      <c r="G491" s="181"/>
      <c r="H491" s="235"/>
    </row>
    <row r="492">
      <c r="A492" s="233"/>
      <c r="B492" s="181"/>
      <c r="C492" s="181"/>
      <c r="D492" s="181"/>
      <c r="F492" s="181"/>
      <c r="G492" s="181"/>
      <c r="H492" s="235"/>
    </row>
    <row r="493">
      <c r="A493" s="233"/>
      <c r="B493" s="181"/>
      <c r="C493" s="181"/>
      <c r="D493" s="181"/>
      <c r="F493" s="181"/>
      <c r="G493" s="181"/>
      <c r="H493" s="235"/>
    </row>
    <row r="494">
      <c r="A494" s="233"/>
      <c r="B494" s="181"/>
      <c r="C494" s="181"/>
      <c r="D494" s="181"/>
      <c r="F494" s="181"/>
      <c r="G494" s="181"/>
      <c r="H494" s="235"/>
    </row>
    <row r="495">
      <c r="A495" s="233"/>
      <c r="B495" s="181"/>
      <c r="C495" s="181"/>
      <c r="D495" s="181"/>
      <c r="F495" s="181"/>
      <c r="G495" s="181"/>
      <c r="H495" s="235"/>
    </row>
    <row r="496">
      <c r="A496" s="233"/>
      <c r="B496" s="181"/>
      <c r="C496" s="181"/>
      <c r="D496" s="181"/>
      <c r="F496" s="181"/>
      <c r="G496" s="181"/>
      <c r="H496" s="235"/>
    </row>
    <row r="497">
      <c r="A497" s="233"/>
      <c r="B497" s="181"/>
      <c r="C497" s="181"/>
      <c r="D497" s="181"/>
      <c r="F497" s="181"/>
      <c r="G497" s="181"/>
      <c r="H497" s="235"/>
    </row>
    <row r="498">
      <c r="A498" s="233"/>
      <c r="B498" s="181"/>
      <c r="C498" s="181"/>
      <c r="D498" s="181"/>
      <c r="F498" s="181"/>
      <c r="G498" s="181"/>
      <c r="H498" s="235"/>
    </row>
    <row r="499">
      <c r="A499" s="233"/>
      <c r="B499" s="181"/>
      <c r="C499" s="181"/>
      <c r="D499" s="181"/>
      <c r="F499" s="181"/>
      <c r="G499" s="181"/>
      <c r="H499" s="235"/>
    </row>
    <row r="500">
      <c r="A500" s="233"/>
      <c r="B500" s="181"/>
      <c r="C500" s="181"/>
      <c r="D500" s="181"/>
      <c r="F500" s="181"/>
      <c r="G500" s="181"/>
      <c r="H500" s="235"/>
    </row>
    <row r="501">
      <c r="A501" s="233"/>
      <c r="B501" s="181"/>
      <c r="C501" s="181"/>
      <c r="D501" s="181"/>
      <c r="F501" s="181"/>
      <c r="G501" s="181"/>
      <c r="H501" s="235"/>
    </row>
    <row r="502">
      <c r="A502" s="233"/>
      <c r="B502" s="181"/>
      <c r="C502" s="181"/>
      <c r="D502" s="181"/>
      <c r="F502" s="181"/>
      <c r="G502" s="181"/>
      <c r="H502" s="235"/>
    </row>
    <row r="503">
      <c r="A503" s="233"/>
      <c r="B503" s="181"/>
      <c r="C503" s="181"/>
      <c r="D503" s="181"/>
      <c r="F503" s="181"/>
      <c r="G503" s="181"/>
      <c r="H503" s="235"/>
    </row>
    <row r="504">
      <c r="A504" s="233"/>
      <c r="B504" s="181"/>
      <c r="C504" s="181"/>
      <c r="D504" s="181"/>
      <c r="F504" s="181"/>
      <c r="G504" s="181"/>
      <c r="H504" s="235"/>
    </row>
    <row r="505">
      <c r="A505" s="233"/>
      <c r="B505" s="181"/>
      <c r="C505" s="181"/>
      <c r="D505" s="181"/>
      <c r="F505" s="181"/>
      <c r="G505" s="181"/>
      <c r="H505" s="235"/>
    </row>
    <row r="506">
      <c r="A506" s="233"/>
      <c r="B506" s="181"/>
      <c r="C506" s="181"/>
      <c r="D506" s="181"/>
      <c r="F506" s="181"/>
      <c r="G506" s="181"/>
      <c r="H506" s="235"/>
    </row>
    <row r="507">
      <c r="A507" s="233"/>
      <c r="B507" s="181"/>
      <c r="C507" s="181"/>
      <c r="D507" s="181"/>
      <c r="F507" s="181"/>
      <c r="G507" s="181"/>
      <c r="H507" s="235"/>
    </row>
    <row r="508">
      <c r="A508" s="233"/>
      <c r="B508" s="181"/>
      <c r="C508" s="181"/>
      <c r="D508" s="181"/>
      <c r="F508" s="181"/>
      <c r="G508" s="181"/>
      <c r="H508" s="235"/>
    </row>
    <row r="509">
      <c r="A509" s="233"/>
      <c r="B509" s="181"/>
      <c r="C509" s="181"/>
      <c r="D509" s="181"/>
      <c r="F509" s="181"/>
      <c r="G509" s="181"/>
      <c r="H509" s="235"/>
    </row>
    <row r="510">
      <c r="A510" s="233"/>
      <c r="B510" s="181"/>
      <c r="C510" s="181"/>
      <c r="D510" s="181"/>
      <c r="F510" s="181"/>
      <c r="G510" s="181"/>
      <c r="H510" s="235"/>
    </row>
    <row r="511">
      <c r="A511" s="233"/>
      <c r="B511" s="181"/>
      <c r="C511" s="181"/>
      <c r="D511" s="181"/>
      <c r="F511" s="181"/>
      <c r="G511" s="181"/>
      <c r="H511" s="235"/>
    </row>
    <row r="512">
      <c r="A512" s="233"/>
      <c r="B512" s="181"/>
      <c r="C512" s="181"/>
      <c r="D512" s="181"/>
      <c r="F512" s="181"/>
      <c r="G512" s="181"/>
      <c r="H512" s="235"/>
    </row>
    <row r="513">
      <c r="A513" s="233"/>
      <c r="B513" s="181"/>
      <c r="C513" s="181"/>
      <c r="D513" s="181"/>
      <c r="F513" s="181"/>
      <c r="G513" s="181"/>
      <c r="H513" s="235"/>
    </row>
    <row r="514">
      <c r="A514" s="233"/>
      <c r="B514" s="181"/>
      <c r="C514" s="181"/>
      <c r="D514" s="181"/>
      <c r="F514" s="181"/>
      <c r="G514" s="181"/>
      <c r="H514" s="235"/>
    </row>
    <row r="515">
      <c r="A515" s="233"/>
      <c r="B515" s="181"/>
      <c r="C515" s="181"/>
      <c r="D515" s="181"/>
      <c r="F515" s="181"/>
      <c r="G515" s="181"/>
      <c r="H515" s="235"/>
    </row>
    <row r="516">
      <c r="A516" s="233"/>
      <c r="B516" s="181"/>
      <c r="C516" s="181"/>
      <c r="D516" s="181"/>
      <c r="F516" s="181"/>
      <c r="G516" s="181"/>
      <c r="H516" s="235"/>
    </row>
    <row r="517">
      <c r="A517" s="233"/>
      <c r="B517" s="181"/>
      <c r="C517" s="181"/>
      <c r="D517" s="181"/>
      <c r="F517" s="181"/>
      <c r="G517" s="181"/>
      <c r="H517" s="235"/>
    </row>
    <row r="518">
      <c r="A518" s="233"/>
      <c r="B518" s="181"/>
      <c r="C518" s="181"/>
      <c r="D518" s="181"/>
      <c r="F518" s="181"/>
      <c r="G518" s="181"/>
      <c r="H518" s="235"/>
    </row>
    <row r="519">
      <c r="A519" s="233"/>
      <c r="B519" s="181"/>
      <c r="C519" s="181"/>
      <c r="D519" s="181"/>
      <c r="F519" s="181"/>
      <c r="G519" s="181"/>
      <c r="H519" s="235"/>
    </row>
    <row r="520">
      <c r="A520" s="233"/>
      <c r="B520" s="181"/>
      <c r="C520" s="181"/>
      <c r="D520" s="181"/>
      <c r="F520" s="181"/>
      <c r="G520" s="181"/>
      <c r="H520" s="235"/>
    </row>
    <row r="521">
      <c r="A521" s="233"/>
      <c r="B521" s="181"/>
      <c r="C521" s="181"/>
      <c r="D521" s="181"/>
      <c r="F521" s="181"/>
      <c r="G521" s="181"/>
      <c r="H521" s="235"/>
    </row>
    <row r="522">
      <c r="A522" s="233"/>
      <c r="B522" s="181"/>
      <c r="C522" s="181"/>
      <c r="D522" s="181"/>
      <c r="F522" s="181"/>
      <c r="G522" s="181"/>
      <c r="H522" s="235"/>
    </row>
    <row r="523">
      <c r="A523" s="233"/>
      <c r="B523" s="181"/>
      <c r="C523" s="181"/>
      <c r="D523" s="181"/>
      <c r="F523" s="181"/>
      <c r="G523" s="181"/>
      <c r="H523" s="235"/>
    </row>
    <row r="524">
      <c r="A524" s="233"/>
      <c r="B524" s="181"/>
      <c r="C524" s="181"/>
      <c r="D524" s="181"/>
      <c r="F524" s="181"/>
      <c r="G524" s="181"/>
      <c r="H524" s="235"/>
    </row>
    <row r="525">
      <c r="A525" s="233"/>
      <c r="B525" s="181"/>
      <c r="C525" s="181"/>
      <c r="D525" s="181"/>
      <c r="F525" s="181"/>
      <c r="G525" s="181"/>
      <c r="H525" s="235"/>
    </row>
    <row r="526">
      <c r="A526" s="233"/>
      <c r="B526" s="181"/>
      <c r="C526" s="181"/>
      <c r="D526" s="181"/>
      <c r="F526" s="181"/>
      <c r="G526" s="181"/>
      <c r="H526" s="235"/>
    </row>
    <row r="527">
      <c r="A527" s="233"/>
      <c r="B527" s="181"/>
      <c r="C527" s="181"/>
      <c r="D527" s="181"/>
      <c r="F527" s="181"/>
      <c r="G527" s="181"/>
      <c r="H527" s="235"/>
    </row>
    <row r="528">
      <c r="A528" s="233"/>
      <c r="B528" s="181"/>
      <c r="C528" s="181"/>
      <c r="D528" s="181"/>
      <c r="F528" s="181"/>
      <c r="G528" s="181"/>
      <c r="H528" s="235"/>
    </row>
    <row r="529">
      <c r="A529" s="233"/>
      <c r="B529" s="181"/>
      <c r="C529" s="181"/>
      <c r="D529" s="181"/>
      <c r="F529" s="181"/>
      <c r="G529" s="181"/>
      <c r="H529" s="235"/>
    </row>
    <row r="530">
      <c r="A530" s="233"/>
      <c r="B530" s="181"/>
      <c r="C530" s="181"/>
      <c r="D530" s="181"/>
      <c r="F530" s="181"/>
      <c r="G530" s="181"/>
      <c r="H530" s="235"/>
    </row>
    <row r="531">
      <c r="A531" s="233"/>
      <c r="B531" s="181"/>
      <c r="C531" s="181"/>
      <c r="D531" s="181"/>
      <c r="F531" s="181"/>
      <c r="G531" s="181"/>
      <c r="H531" s="235"/>
    </row>
    <row r="532">
      <c r="A532" s="233"/>
      <c r="B532" s="181"/>
      <c r="C532" s="181"/>
      <c r="D532" s="181"/>
      <c r="F532" s="181"/>
      <c r="G532" s="181"/>
      <c r="H532" s="235"/>
    </row>
    <row r="533">
      <c r="A533" s="233"/>
      <c r="B533" s="181"/>
      <c r="C533" s="181"/>
      <c r="D533" s="181"/>
      <c r="F533" s="181"/>
      <c r="G533" s="181"/>
      <c r="H533" s="235"/>
    </row>
    <row r="534">
      <c r="A534" s="233"/>
      <c r="B534" s="181"/>
      <c r="C534" s="181"/>
      <c r="D534" s="181"/>
      <c r="F534" s="181"/>
      <c r="G534" s="181"/>
      <c r="H534" s="235"/>
    </row>
    <row r="535">
      <c r="A535" s="233"/>
      <c r="B535" s="181"/>
      <c r="C535" s="181"/>
      <c r="D535" s="181"/>
      <c r="F535" s="181"/>
      <c r="G535" s="181"/>
      <c r="H535" s="235"/>
    </row>
    <row r="536">
      <c r="A536" s="233"/>
      <c r="B536" s="181"/>
      <c r="C536" s="181"/>
      <c r="D536" s="181"/>
      <c r="F536" s="181"/>
      <c r="G536" s="181"/>
      <c r="H536" s="235"/>
    </row>
    <row r="537">
      <c r="A537" s="233"/>
      <c r="B537" s="181"/>
      <c r="C537" s="181"/>
      <c r="D537" s="181"/>
      <c r="F537" s="181"/>
      <c r="G537" s="181"/>
      <c r="H537" s="235"/>
    </row>
    <row r="538">
      <c r="A538" s="233"/>
      <c r="B538" s="181"/>
      <c r="C538" s="181"/>
      <c r="D538" s="181"/>
      <c r="F538" s="181"/>
      <c r="G538" s="181"/>
      <c r="H538" s="235"/>
    </row>
    <row r="539">
      <c r="A539" s="233"/>
      <c r="B539" s="181"/>
      <c r="C539" s="181"/>
      <c r="D539" s="181"/>
      <c r="F539" s="181"/>
      <c r="G539" s="181"/>
      <c r="H539" s="235"/>
    </row>
    <row r="540">
      <c r="A540" s="233"/>
      <c r="B540" s="181"/>
      <c r="C540" s="181"/>
      <c r="D540" s="181"/>
      <c r="F540" s="181"/>
      <c r="G540" s="181"/>
      <c r="H540" s="235"/>
    </row>
    <row r="541">
      <c r="A541" s="233"/>
      <c r="B541" s="181"/>
      <c r="C541" s="181"/>
      <c r="D541" s="181"/>
      <c r="F541" s="181"/>
      <c r="G541" s="181"/>
      <c r="H541" s="235"/>
    </row>
    <row r="542">
      <c r="A542" s="233"/>
      <c r="B542" s="181"/>
      <c r="C542" s="181"/>
      <c r="D542" s="181"/>
      <c r="F542" s="181"/>
      <c r="G542" s="181"/>
      <c r="H542" s="235"/>
    </row>
    <row r="543">
      <c r="A543" s="233"/>
      <c r="B543" s="181"/>
      <c r="C543" s="181"/>
      <c r="D543" s="181"/>
      <c r="F543" s="181"/>
      <c r="G543" s="181"/>
      <c r="H543" s="235"/>
    </row>
    <row r="544">
      <c r="A544" s="233"/>
      <c r="B544" s="181"/>
      <c r="C544" s="181"/>
      <c r="D544" s="181"/>
      <c r="F544" s="181"/>
      <c r="G544" s="181"/>
      <c r="H544" s="235"/>
    </row>
    <row r="545">
      <c r="A545" s="233"/>
      <c r="B545" s="181"/>
      <c r="C545" s="181"/>
      <c r="D545" s="181"/>
      <c r="F545" s="181"/>
      <c r="G545" s="181"/>
      <c r="H545" s="235"/>
    </row>
    <row r="546">
      <c r="A546" s="233"/>
      <c r="B546" s="181"/>
      <c r="C546" s="181"/>
      <c r="D546" s="181"/>
      <c r="F546" s="181"/>
      <c r="G546" s="181"/>
      <c r="H546" s="235"/>
    </row>
    <row r="547">
      <c r="A547" s="233"/>
      <c r="B547" s="181"/>
      <c r="C547" s="181"/>
      <c r="D547" s="181"/>
      <c r="F547" s="181"/>
      <c r="G547" s="181"/>
      <c r="H547" s="235"/>
    </row>
    <row r="548">
      <c r="A548" s="233"/>
      <c r="B548" s="181"/>
      <c r="C548" s="181"/>
      <c r="D548" s="181"/>
      <c r="F548" s="181"/>
      <c r="G548" s="181"/>
      <c r="H548" s="235"/>
    </row>
    <row r="549">
      <c r="A549" s="233"/>
      <c r="B549" s="181"/>
      <c r="C549" s="181"/>
      <c r="D549" s="181"/>
      <c r="F549" s="181"/>
      <c r="G549" s="181"/>
      <c r="H549" s="235"/>
    </row>
    <row r="550">
      <c r="A550" s="233"/>
      <c r="B550" s="181"/>
      <c r="C550" s="181"/>
      <c r="D550" s="181"/>
      <c r="F550" s="181"/>
      <c r="G550" s="181"/>
      <c r="H550" s="235"/>
    </row>
    <row r="551">
      <c r="A551" s="233"/>
      <c r="B551" s="181"/>
      <c r="C551" s="181"/>
      <c r="D551" s="181"/>
      <c r="F551" s="181"/>
      <c r="G551" s="181"/>
      <c r="H551" s="235"/>
    </row>
    <row r="552">
      <c r="A552" s="233"/>
      <c r="B552" s="181"/>
      <c r="C552" s="181"/>
      <c r="D552" s="181"/>
      <c r="F552" s="181"/>
      <c r="G552" s="181"/>
      <c r="H552" s="235"/>
    </row>
    <row r="553">
      <c r="A553" s="233"/>
      <c r="B553" s="181"/>
      <c r="C553" s="181"/>
      <c r="D553" s="181"/>
      <c r="F553" s="181"/>
      <c r="G553" s="181"/>
      <c r="H553" s="235"/>
    </row>
    <row r="554">
      <c r="A554" s="233"/>
      <c r="B554" s="181"/>
      <c r="C554" s="181"/>
      <c r="D554" s="181"/>
      <c r="F554" s="181"/>
      <c r="G554" s="181"/>
      <c r="H554" s="235"/>
    </row>
    <row r="555">
      <c r="A555" s="233"/>
      <c r="B555" s="181"/>
      <c r="C555" s="181"/>
      <c r="D555" s="181"/>
      <c r="F555" s="181"/>
      <c r="G555" s="181"/>
      <c r="H555" s="235"/>
    </row>
    <row r="556">
      <c r="A556" s="233"/>
      <c r="B556" s="181"/>
      <c r="C556" s="181"/>
      <c r="D556" s="181"/>
      <c r="F556" s="181"/>
      <c r="G556" s="181"/>
      <c r="H556" s="235"/>
    </row>
    <row r="557">
      <c r="A557" s="233"/>
      <c r="B557" s="181"/>
      <c r="C557" s="181"/>
      <c r="D557" s="181"/>
      <c r="F557" s="181"/>
      <c r="G557" s="181"/>
      <c r="H557" s="235"/>
    </row>
    <row r="558">
      <c r="A558" s="233"/>
      <c r="B558" s="181"/>
      <c r="C558" s="181"/>
      <c r="D558" s="181"/>
      <c r="F558" s="181"/>
      <c r="G558" s="181"/>
      <c r="H558" s="235"/>
    </row>
    <row r="559">
      <c r="A559" s="233"/>
      <c r="B559" s="181"/>
      <c r="C559" s="181"/>
      <c r="D559" s="181"/>
      <c r="F559" s="181"/>
      <c r="G559" s="181"/>
      <c r="H559" s="235"/>
    </row>
    <row r="560">
      <c r="A560" s="233"/>
      <c r="B560" s="181"/>
      <c r="C560" s="181"/>
      <c r="D560" s="181"/>
      <c r="F560" s="181"/>
      <c r="G560" s="181"/>
      <c r="H560" s="235"/>
    </row>
    <row r="561">
      <c r="A561" s="233"/>
      <c r="B561" s="181"/>
      <c r="C561" s="181"/>
      <c r="D561" s="181"/>
      <c r="F561" s="181"/>
      <c r="G561" s="181"/>
      <c r="H561" s="235"/>
    </row>
    <row r="562">
      <c r="A562" s="233"/>
      <c r="B562" s="181"/>
      <c r="C562" s="181"/>
      <c r="D562" s="181"/>
      <c r="F562" s="181"/>
      <c r="G562" s="181"/>
      <c r="H562" s="235"/>
    </row>
    <row r="563">
      <c r="A563" s="233"/>
      <c r="B563" s="181"/>
      <c r="C563" s="181"/>
      <c r="D563" s="181"/>
      <c r="F563" s="181"/>
      <c r="G563" s="181"/>
      <c r="H563" s="235"/>
    </row>
    <row r="564">
      <c r="A564" s="233"/>
      <c r="B564" s="181"/>
      <c r="C564" s="181"/>
      <c r="D564" s="181"/>
      <c r="F564" s="181"/>
      <c r="G564" s="181"/>
      <c r="H564" s="235"/>
    </row>
    <row r="565">
      <c r="A565" s="233"/>
      <c r="B565" s="181"/>
      <c r="C565" s="181"/>
      <c r="D565" s="181"/>
      <c r="F565" s="181"/>
      <c r="G565" s="181"/>
      <c r="H565" s="235"/>
    </row>
    <row r="566">
      <c r="A566" s="233"/>
      <c r="B566" s="181"/>
      <c r="C566" s="181"/>
      <c r="D566" s="181"/>
      <c r="F566" s="181"/>
      <c r="G566" s="181"/>
      <c r="H566" s="235"/>
    </row>
    <row r="567">
      <c r="A567" s="233"/>
      <c r="B567" s="181"/>
      <c r="C567" s="181"/>
      <c r="D567" s="181"/>
      <c r="F567" s="181"/>
      <c r="G567" s="181"/>
      <c r="H567" s="235"/>
    </row>
    <row r="568">
      <c r="A568" s="233"/>
      <c r="B568" s="181"/>
      <c r="C568" s="181"/>
      <c r="D568" s="181"/>
      <c r="F568" s="181"/>
      <c r="G568" s="181"/>
      <c r="H568" s="235"/>
    </row>
    <row r="569">
      <c r="A569" s="233"/>
      <c r="B569" s="181"/>
      <c r="C569" s="181"/>
      <c r="D569" s="181"/>
      <c r="F569" s="181"/>
      <c r="G569" s="181"/>
      <c r="H569" s="235"/>
    </row>
    <row r="570">
      <c r="A570" s="233"/>
      <c r="B570" s="181"/>
      <c r="C570" s="181"/>
      <c r="D570" s="181"/>
      <c r="F570" s="181"/>
      <c r="G570" s="181"/>
      <c r="H570" s="235"/>
    </row>
    <row r="571">
      <c r="A571" s="233"/>
      <c r="B571" s="181"/>
      <c r="C571" s="181"/>
      <c r="D571" s="181"/>
      <c r="F571" s="181"/>
      <c r="G571" s="181"/>
      <c r="H571" s="235"/>
    </row>
    <row r="572">
      <c r="A572" s="233"/>
      <c r="B572" s="181"/>
      <c r="C572" s="181"/>
      <c r="D572" s="181"/>
      <c r="F572" s="181"/>
      <c r="G572" s="181"/>
      <c r="H572" s="235"/>
    </row>
    <row r="573">
      <c r="A573" s="233"/>
      <c r="B573" s="181"/>
      <c r="C573" s="181"/>
      <c r="D573" s="181"/>
      <c r="F573" s="181"/>
      <c r="G573" s="181"/>
      <c r="H573" s="235"/>
    </row>
    <row r="574">
      <c r="A574" s="233"/>
      <c r="B574" s="181"/>
      <c r="C574" s="181"/>
      <c r="D574" s="181"/>
      <c r="F574" s="181"/>
      <c r="G574" s="181"/>
      <c r="H574" s="235"/>
    </row>
    <row r="575">
      <c r="A575" s="233"/>
      <c r="B575" s="181"/>
      <c r="C575" s="181"/>
      <c r="D575" s="181"/>
      <c r="F575" s="181"/>
      <c r="G575" s="181"/>
      <c r="H575" s="235"/>
    </row>
    <row r="576">
      <c r="A576" s="233"/>
      <c r="B576" s="181"/>
      <c r="C576" s="181"/>
      <c r="D576" s="181"/>
      <c r="F576" s="181"/>
      <c r="G576" s="181"/>
      <c r="H576" s="235"/>
    </row>
    <row r="577">
      <c r="A577" s="233"/>
      <c r="B577" s="181"/>
      <c r="C577" s="181"/>
      <c r="D577" s="181"/>
      <c r="F577" s="181"/>
      <c r="G577" s="181"/>
      <c r="H577" s="235"/>
    </row>
    <row r="578">
      <c r="A578" s="233"/>
      <c r="B578" s="181"/>
      <c r="C578" s="181"/>
      <c r="D578" s="181"/>
      <c r="F578" s="181"/>
      <c r="G578" s="181"/>
      <c r="H578" s="235"/>
    </row>
    <row r="579">
      <c r="A579" s="233"/>
      <c r="B579" s="181"/>
      <c r="C579" s="181"/>
      <c r="D579" s="181"/>
      <c r="F579" s="181"/>
      <c r="G579" s="181"/>
      <c r="H579" s="235"/>
    </row>
    <row r="580">
      <c r="A580" s="233"/>
      <c r="B580" s="181"/>
      <c r="C580" s="181"/>
      <c r="D580" s="181"/>
      <c r="F580" s="181"/>
      <c r="G580" s="181"/>
      <c r="H580" s="235"/>
    </row>
    <row r="581">
      <c r="A581" s="233"/>
      <c r="B581" s="181"/>
      <c r="C581" s="181"/>
      <c r="D581" s="181"/>
      <c r="F581" s="181"/>
      <c r="G581" s="181"/>
      <c r="H581" s="235"/>
    </row>
    <row r="582">
      <c r="A582" s="233"/>
      <c r="B582" s="181"/>
      <c r="C582" s="181"/>
      <c r="D582" s="181"/>
      <c r="F582" s="181"/>
      <c r="G582" s="181"/>
      <c r="H582" s="235"/>
    </row>
    <row r="583">
      <c r="A583" s="233"/>
      <c r="B583" s="181"/>
      <c r="C583" s="181"/>
      <c r="D583" s="181"/>
      <c r="F583" s="181"/>
      <c r="G583" s="181"/>
      <c r="H583" s="235"/>
    </row>
    <row r="584">
      <c r="A584" s="233"/>
      <c r="B584" s="181"/>
      <c r="C584" s="181"/>
      <c r="D584" s="181"/>
      <c r="F584" s="181"/>
      <c r="G584" s="181"/>
      <c r="H584" s="235"/>
    </row>
    <row r="585">
      <c r="A585" s="233"/>
      <c r="B585" s="181"/>
      <c r="C585" s="181"/>
      <c r="D585" s="181"/>
      <c r="F585" s="181"/>
      <c r="G585" s="181"/>
      <c r="H585" s="235"/>
    </row>
    <row r="586">
      <c r="A586" s="233"/>
      <c r="B586" s="181"/>
      <c r="C586" s="181"/>
      <c r="D586" s="181"/>
      <c r="F586" s="181"/>
      <c r="G586" s="181"/>
      <c r="H586" s="235"/>
    </row>
    <row r="587">
      <c r="A587" s="233"/>
      <c r="B587" s="181"/>
      <c r="C587" s="181"/>
      <c r="D587" s="181"/>
      <c r="F587" s="181"/>
      <c r="G587" s="181"/>
      <c r="H587" s="235"/>
    </row>
    <row r="588">
      <c r="A588" s="233"/>
      <c r="B588" s="181"/>
      <c r="C588" s="181"/>
      <c r="D588" s="181"/>
      <c r="F588" s="181"/>
      <c r="G588" s="181"/>
      <c r="H588" s="235"/>
    </row>
    <row r="589">
      <c r="A589" s="233"/>
      <c r="B589" s="181"/>
      <c r="C589" s="181"/>
      <c r="D589" s="181"/>
      <c r="F589" s="181"/>
      <c r="G589" s="181"/>
      <c r="H589" s="235"/>
    </row>
    <row r="590">
      <c r="A590" s="233"/>
      <c r="B590" s="181"/>
      <c r="C590" s="181"/>
      <c r="D590" s="181"/>
      <c r="F590" s="181"/>
      <c r="G590" s="181"/>
      <c r="H590" s="235"/>
    </row>
    <row r="591">
      <c r="A591" s="233"/>
      <c r="B591" s="181"/>
      <c r="C591" s="181"/>
      <c r="D591" s="181"/>
      <c r="F591" s="181"/>
      <c r="G591" s="181"/>
      <c r="H591" s="235"/>
    </row>
    <row r="592">
      <c r="A592" s="233"/>
      <c r="B592" s="181"/>
      <c r="C592" s="181"/>
      <c r="D592" s="181"/>
      <c r="F592" s="181"/>
      <c r="G592" s="181"/>
      <c r="H592" s="235"/>
    </row>
    <row r="593">
      <c r="A593" s="233"/>
      <c r="B593" s="181"/>
      <c r="C593" s="181"/>
      <c r="D593" s="181"/>
      <c r="F593" s="181"/>
      <c r="G593" s="181"/>
      <c r="H593" s="235"/>
    </row>
    <row r="594">
      <c r="A594" s="233"/>
      <c r="B594" s="181"/>
      <c r="C594" s="181"/>
      <c r="D594" s="181"/>
      <c r="F594" s="181"/>
      <c r="G594" s="181"/>
      <c r="H594" s="235"/>
    </row>
    <row r="595">
      <c r="A595" s="233"/>
      <c r="B595" s="181"/>
      <c r="C595" s="181"/>
      <c r="D595" s="181"/>
      <c r="F595" s="181"/>
      <c r="G595" s="181"/>
      <c r="H595" s="235"/>
    </row>
    <row r="596">
      <c r="A596" s="233"/>
      <c r="B596" s="181"/>
      <c r="C596" s="181"/>
      <c r="D596" s="181"/>
      <c r="F596" s="181"/>
      <c r="G596" s="181"/>
      <c r="H596" s="235"/>
    </row>
    <row r="597">
      <c r="A597" s="233"/>
      <c r="B597" s="181"/>
      <c r="C597" s="181"/>
      <c r="D597" s="181"/>
      <c r="F597" s="181"/>
      <c r="G597" s="181"/>
      <c r="H597" s="235"/>
    </row>
    <row r="598">
      <c r="A598" s="233"/>
      <c r="B598" s="181"/>
      <c r="C598" s="181"/>
      <c r="D598" s="181"/>
      <c r="F598" s="181"/>
      <c r="G598" s="181"/>
      <c r="H598" s="235"/>
    </row>
    <row r="599">
      <c r="A599" s="233"/>
      <c r="B599" s="181"/>
      <c r="C599" s="181"/>
      <c r="D599" s="181"/>
      <c r="F599" s="181"/>
      <c r="G599" s="181"/>
      <c r="H599" s="235"/>
    </row>
    <row r="600">
      <c r="A600" s="233"/>
      <c r="B600" s="181"/>
      <c r="C600" s="181"/>
      <c r="D600" s="181"/>
      <c r="F600" s="181"/>
      <c r="G600" s="181"/>
      <c r="H600" s="235"/>
    </row>
    <row r="601">
      <c r="A601" s="233"/>
      <c r="B601" s="181"/>
      <c r="C601" s="181"/>
      <c r="D601" s="181"/>
      <c r="F601" s="181"/>
      <c r="G601" s="181"/>
      <c r="H601" s="235"/>
    </row>
    <row r="602">
      <c r="A602" s="233"/>
      <c r="B602" s="181"/>
      <c r="C602" s="181"/>
      <c r="D602" s="181"/>
      <c r="F602" s="181"/>
      <c r="G602" s="181"/>
      <c r="H602" s="235"/>
    </row>
    <row r="603">
      <c r="A603" s="233"/>
      <c r="B603" s="181"/>
      <c r="C603" s="181"/>
      <c r="D603" s="181"/>
      <c r="F603" s="181"/>
      <c r="G603" s="181"/>
      <c r="H603" s="235"/>
    </row>
    <row r="604">
      <c r="A604" s="233"/>
      <c r="B604" s="181"/>
      <c r="C604" s="181"/>
      <c r="D604" s="181"/>
      <c r="F604" s="181"/>
      <c r="G604" s="181"/>
      <c r="H604" s="235"/>
    </row>
    <row r="605">
      <c r="A605" s="233"/>
      <c r="B605" s="181"/>
      <c r="C605" s="181"/>
      <c r="D605" s="181"/>
      <c r="F605" s="181"/>
      <c r="G605" s="181"/>
      <c r="H605" s="235"/>
    </row>
    <row r="606">
      <c r="A606" s="233"/>
      <c r="B606" s="181"/>
      <c r="C606" s="181"/>
      <c r="D606" s="181"/>
      <c r="F606" s="181"/>
      <c r="G606" s="181"/>
      <c r="H606" s="235"/>
    </row>
    <row r="607">
      <c r="A607" s="233"/>
      <c r="B607" s="181"/>
      <c r="C607" s="181"/>
      <c r="D607" s="181"/>
      <c r="F607" s="181"/>
      <c r="G607" s="181"/>
      <c r="H607" s="235"/>
    </row>
    <row r="608">
      <c r="A608" s="233"/>
      <c r="B608" s="181"/>
      <c r="C608" s="181"/>
      <c r="D608" s="181"/>
      <c r="F608" s="181"/>
      <c r="G608" s="181"/>
      <c r="H608" s="235"/>
    </row>
    <row r="609">
      <c r="A609" s="233"/>
      <c r="B609" s="181"/>
      <c r="C609" s="181"/>
      <c r="D609" s="181"/>
      <c r="F609" s="181"/>
      <c r="G609" s="181"/>
      <c r="H609" s="235"/>
    </row>
    <row r="610">
      <c r="A610" s="233"/>
      <c r="B610" s="181"/>
      <c r="C610" s="181"/>
      <c r="D610" s="181"/>
      <c r="F610" s="181"/>
      <c r="G610" s="181"/>
      <c r="H610" s="235"/>
    </row>
    <row r="611">
      <c r="A611" s="233"/>
      <c r="B611" s="181"/>
      <c r="C611" s="181"/>
      <c r="D611" s="181"/>
      <c r="F611" s="181"/>
      <c r="G611" s="181"/>
      <c r="H611" s="235"/>
    </row>
    <row r="612">
      <c r="A612" s="233"/>
      <c r="B612" s="181"/>
      <c r="C612" s="181"/>
      <c r="D612" s="181"/>
      <c r="F612" s="181"/>
      <c r="G612" s="181"/>
      <c r="H612" s="235"/>
    </row>
    <row r="613">
      <c r="A613" s="233"/>
      <c r="B613" s="181"/>
      <c r="C613" s="181"/>
      <c r="D613" s="181"/>
      <c r="F613" s="181"/>
      <c r="G613" s="181"/>
      <c r="H613" s="235"/>
    </row>
    <row r="614">
      <c r="A614" s="233"/>
      <c r="B614" s="181"/>
      <c r="C614" s="181"/>
      <c r="D614" s="181"/>
      <c r="F614" s="181"/>
      <c r="G614" s="181"/>
      <c r="H614" s="235"/>
    </row>
    <row r="615">
      <c r="A615" s="233"/>
      <c r="B615" s="181"/>
      <c r="C615" s="181"/>
      <c r="D615" s="181"/>
      <c r="F615" s="181"/>
      <c r="G615" s="181"/>
      <c r="H615" s="235"/>
    </row>
    <row r="616">
      <c r="A616" s="233"/>
      <c r="B616" s="181"/>
      <c r="C616" s="181"/>
      <c r="D616" s="181"/>
      <c r="F616" s="181"/>
      <c r="G616" s="181"/>
      <c r="H616" s="235"/>
    </row>
    <row r="617">
      <c r="A617" s="233"/>
      <c r="B617" s="181"/>
      <c r="C617" s="181"/>
      <c r="D617" s="181"/>
      <c r="F617" s="181"/>
      <c r="G617" s="181"/>
      <c r="H617" s="235"/>
    </row>
    <row r="618">
      <c r="A618" s="233"/>
      <c r="B618" s="181"/>
      <c r="C618" s="181"/>
      <c r="D618" s="181"/>
      <c r="F618" s="181"/>
      <c r="G618" s="181"/>
      <c r="H618" s="235"/>
    </row>
    <row r="619">
      <c r="A619" s="233"/>
      <c r="B619" s="181"/>
      <c r="C619" s="181"/>
      <c r="D619" s="181"/>
      <c r="F619" s="181"/>
      <c r="G619" s="181"/>
      <c r="H619" s="235"/>
    </row>
    <row r="620">
      <c r="A620" s="233"/>
      <c r="B620" s="181"/>
      <c r="C620" s="181"/>
      <c r="D620" s="181"/>
      <c r="F620" s="181"/>
      <c r="G620" s="181"/>
      <c r="H620" s="235"/>
    </row>
    <row r="621">
      <c r="A621" s="233"/>
      <c r="B621" s="181"/>
      <c r="C621" s="181"/>
      <c r="D621" s="181"/>
      <c r="F621" s="181"/>
      <c r="G621" s="181"/>
      <c r="H621" s="235"/>
    </row>
    <row r="622">
      <c r="A622" s="233"/>
      <c r="B622" s="181"/>
      <c r="C622" s="181"/>
      <c r="D622" s="181"/>
      <c r="F622" s="181"/>
      <c r="G622" s="181"/>
      <c r="H622" s="235"/>
    </row>
    <row r="623">
      <c r="A623" s="233"/>
      <c r="B623" s="181"/>
      <c r="C623" s="181"/>
      <c r="D623" s="181"/>
      <c r="F623" s="181"/>
      <c r="G623" s="181"/>
      <c r="H623" s="235"/>
    </row>
    <row r="624">
      <c r="A624" s="233"/>
      <c r="B624" s="181"/>
      <c r="C624" s="181"/>
      <c r="D624" s="181"/>
      <c r="F624" s="181"/>
      <c r="G624" s="181"/>
      <c r="H624" s="235"/>
    </row>
    <row r="625">
      <c r="A625" s="233"/>
      <c r="B625" s="181"/>
      <c r="C625" s="181"/>
      <c r="D625" s="181"/>
      <c r="F625" s="181"/>
      <c r="G625" s="181"/>
      <c r="H625" s="235"/>
    </row>
    <row r="626">
      <c r="A626" s="233"/>
      <c r="B626" s="181"/>
      <c r="C626" s="181"/>
      <c r="D626" s="181"/>
      <c r="F626" s="181"/>
      <c r="G626" s="181"/>
      <c r="H626" s="235"/>
    </row>
    <row r="627">
      <c r="A627" s="233"/>
      <c r="B627" s="181"/>
      <c r="C627" s="181"/>
      <c r="D627" s="181"/>
      <c r="F627" s="181"/>
      <c r="G627" s="181"/>
      <c r="H627" s="235"/>
    </row>
    <row r="628">
      <c r="A628" s="233"/>
      <c r="B628" s="181"/>
      <c r="C628" s="181"/>
      <c r="D628" s="181"/>
      <c r="F628" s="181"/>
      <c r="G628" s="181"/>
      <c r="H628" s="235"/>
    </row>
    <row r="629">
      <c r="A629" s="233"/>
      <c r="B629" s="181"/>
      <c r="C629" s="181"/>
      <c r="D629" s="181"/>
      <c r="F629" s="181"/>
      <c r="G629" s="181"/>
      <c r="H629" s="235"/>
    </row>
    <row r="630">
      <c r="A630" s="233"/>
      <c r="B630" s="181"/>
      <c r="C630" s="181"/>
      <c r="D630" s="181"/>
      <c r="F630" s="181"/>
      <c r="G630" s="181"/>
      <c r="H630" s="235"/>
    </row>
    <row r="631">
      <c r="A631" s="233"/>
      <c r="B631" s="181"/>
      <c r="C631" s="181"/>
      <c r="D631" s="181"/>
      <c r="F631" s="181"/>
      <c r="G631" s="181"/>
      <c r="H631" s="235"/>
    </row>
    <row r="632">
      <c r="A632" s="233"/>
      <c r="B632" s="181"/>
      <c r="C632" s="181"/>
      <c r="D632" s="181"/>
      <c r="F632" s="181"/>
      <c r="G632" s="181"/>
      <c r="H632" s="235"/>
    </row>
    <row r="633">
      <c r="A633" s="233"/>
      <c r="B633" s="181"/>
      <c r="C633" s="181"/>
      <c r="D633" s="181"/>
      <c r="F633" s="181"/>
      <c r="G633" s="181"/>
      <c r="H633" s="235"/>
    </row>
    <row r="634">
      <c r="A634" s="233"/>
      <c r="B634" s="181"/>
      <c r="C634" s="181"/>
      <c r="D634" s="181"/>
      <c r="F634" s="181"/>
      <c r="G634" s="181"/>
      <c r="H634" s="235"/>
    </row>
    <row r="635">
      <c r="A635" s="233"/>
      <c r="B635" s="181"/>
      <c r="C635" s="181"/>
      <c r="D635" s="181"/>
      <c r="F635" s="181"/>
      <c r="G635" s="181"/>
      <c r="H635" s="235"/>
    </row>
    <row r="636">
      <c r="A636" s="233"/>
      <c r="B636" s="181"/>
      <c r="C636" s="181"/>
      <c r="D636" s="181"/>
      <c r="F636" s="181"/>
      <c r="G636" s="181"/>
      <c r="H636" s="235"/>
    </row>
    <row r="637">
      <c r="A637" s="233"/>
      <c r="B637" s="181"/>
      <c r="C637" s="181"/>
      <c r="D637" s="181"/>
      <c r="F637" s="181"/>
      <c r="G637" s="181"/>
      <c r="H637" s="235"/>
    </row>
    <row r="638">
      <c r="A638" s="233"/>
      <c r="B638" s="181"/>
      <c r="C638" s="181"/>
      <c r="D638" s="181"/>
      <c r="F638" s="181"/>
      <c r="G638" s="181"/>
      <c r="H638" s="235"/>
    </row>
    <row r="639">
      <c r="A639" s="233"/>
      <c r="B639" s="181"/>
      <c r="C639" s="181"/>
      <c r="D639" s="181"/>
      <c r="F639" s="181"/>
      <c r="G639" s="181"/>
      <c r="H639" s="235"/>
    </row>
    <row r="640">
      <c r="A640" s="233"/>
      <c r="B640" s="181"/>
      <c r="C640" s="181"/>
      <c r="D640" s="181"/>
      <c r="F640" s="181"/>
      <c r="G640" s="181"/>
      <c r="H640" s="235"/>
    </row>
    <row r="641">
      <c r="A641" s="233"/>
      <c r="B641" s="181"/>
      <c r="C641" s="181"/>
      <c r="D641" s="181"/>
      <c r="F641" s="181"/>
      <c r="G641" s="181"/>
      <c r="H641" s="235"/>
    </row>
    <row r="642">
      <c r="A642" s="233"/>
      <c r="B642" s="181"/>
      <c r="C642" s="181"/>
      <c r="D642" s="181"/>
      <c r="F642" s="181"/>
      <c r="G642" s="181"/>
      <c r="H642" s="235"/>
    </row>
    <row r="643">
      <c r="A643" s="233"/>
      <c r="B643" s="181"/>
      <c r="C643" s="181"/>
      <c r="D643" s="181"/>
      <c r="F643" s="181"/>
      <c r="G643" s="181"/>
      <c r="H643" s="235"/>
    </row>
    <row r="644">
      <c r="A644" s="233"/>
      <c r="B644" s="181"/>
      <c r="C644" s="181"/>
      <c r="D644" s="181"/>
      <c r="F644" s="181"/>
      <c r="G644" s="181"/>
      <c r="H644" s="235"/>
    </row>
    <row r="645">
      <c r="A645" s="233"/>
      <c r="B645" s="181"/>
      <c r="C645" s="181"/>
      <c r="D645" s="181"/>
      <c r="F645" s="181"/>
      <c r="G645" s="181"/>
      <c r="H645" s="235"/>
    </row>
    <row r="646">
      <c r="A646" s="233"/>
      <c r="B646" s="181"/>
      <c r="C646" s="181"/>
      <c r="D646" s="181"/>
      <c r="F646" s="181"/>
      <c r="G646" s="181"/>
      <c r="H646" s="235"/>
    </row>
    <row r="647">
      <c r="A647" s="233"/>
      <c r="B647" s="181"/>
      <c r="C647" s="181"/>
      <c r="D647" s="181"/>
      <c r="F647" s="181"/>
      <c r="G647" s="181"/>
      <c r="H647" s="235"/>
    </row>
    <row r="648">
      <c r="A648" s="233"/>
      <c r="B648" s="181"/>
      <c r="C648" s="181"/>
      <c r="D648" s="181"/>
      <c r="F648" s="181"/>
      <c r="G648" s="181"/>
      <c r="H648" s="235"/>
    </row>
    <row r="649">
      <c r="A649" s="233"/>
      <c r="B649" s="181"/>
      <c r="C649" s="181"/>
      <c r="D649" s="181"/>
      <c r="F649" s="181"/>
      <c r="G649" s="181"/>
      <c r="H649" s="235"/>
    </row>
    <row r="650">
      <c r="A650" s="233"/>
      <c r="B650" s="181"/>
      <c r="C650" s="181"/>
      <c r="D650" s="181"/>
      <c r="F650" s="181"/>
      <c r="G650" s="181"/>
      <c r="H650" s="235"/>
    </row>
    <row r="651">
      <c r="A651" s="233"/>
      <c r="B651" s="181"/>
      <c r="C651" s="181"/>
      <c r="D651" s="181"/>
      <c r="F651" s="181"/>
      <c r="G651" s="181"/>
      <c r="H651" s="235"/>
    </row>
    <row r="652">
      <c r="A652" s="233"/>
      <c r="B652" s="181"/>
      <c r="C652" s="181"/>
      <c r="D652" s="181"/>
      <c r="F652" s="181"/>
      <c r="G652" s="181"/>
      <c r="H652" s="235"/>
    </row>
    <row r="653">
      <c r="A653" s="233"/>
      <c r="B653" s="181"/>
      <c r="C653" s="181"/>
      <c r="D653" s="181"/>
      <c r="F653" s="181"/>
      <c r="G653" s="181"/>
      <c r="H653" s="235"/>
    </row>
    <row r="654">
      <c r="A654" s="233"/>
      <c r="B654" s="181"/>
      <c r="C654" s="181"/>
      <c r="D654" s="181"/>
      <c r="F654" s="181"/>
      <c r="G654" s="181"/>
      <c r="H654" s="235"/>
    </row>
    <row r="655">
      <c r="A655" s="233"/>
      <c r="B655" s="181"/>
      <c r="C655" s="181"/>
      <c r="D655" s="181"/>
      <c r="F655" s="181"/>
      <c r="G655" s="181"/>
      <c r="H655" s="235"/>
    </row>
    <row r="656">
      <c r="A656" s="233"/>
      <c r="B656" s="181"/>
      <c r="C656" s="181"/>
      <c r="D656" s="181"/>
      <c r="F656" s="181"/>
      <c r="G656" s="181"/>
      <c r="H656" s="235"/>
    </row>
    <row r="657">
      <c r="A657" s="233"/>
      <c r="B657" s="181"/>
      <c r="C657" s="181"/>
      <c r="D657" s="181"/>
      <c r="F657" s="181"/>
      <c r="G657" s="181"/>
      <c r="H657" s="235"/>
    </row>
    <row r="658">
      <c r="A658" s="233"/>
      <c r="B658" s="181"/>
      <c r="C658" s="181"/>
      <c r="D658" s="181"/>
      <c r="F658" s="181"/>
      <c r="G658" s="181"/>
      <c r="H658" s="235"/>
    </row>
    <row r="659">
      <c r="A659" s="233"/>
      <c r="B659" s="181"/>
      <c r="C659" s="181"/>
      <c r="D659" s="181"/>
      <c r="F659" s="181"/>
      <c r="G659" s="181"/>
      <c r="H659" s="235"/>
    </row>
    <row r="660">
      <c r="A660" s="233"/>
      <c r="B660" s="181"/>
      <c r="C660" s="181"/>
      <c r="D660" s="181"/>
      <c r="F660" s="181"/>
      <c r="G660" s="181"/>
      <c r="H660" s="235"/>
    </row>
    <row r="661">
      <c r="A661" s="233"/>
      <c r="B661" s="181"/>
      <c r="C661" s="181"/>
      <c r="D661" s="181"/>
      <c r="F661" s="181"/>
      <c r="G661" s="181"/>
      <c r="H661" s="235"/>
    </row>
    <row r="662">
      <c r="A662" s="233"/>
      <c r="B662" s="181"/>
      <c r="C662" s="181"/>
      <c r="D662" s="181"/>
      <c r="F662" s="181"/>
      <c r="G662" s="181"/>
      <c r="H662" s="235"/>
    </row>
    <row r="663">
      <c r="A663" s="233"/>
      <c r="B663" s="181"/>
      <c r="C663" s="181"/>
      <c r="D663" s="181"/>
      <c r="F663" s="181"/>
      <c r="G663" s="181"/>
      <c r="H663" s="235"/>
    </row>
    <row r="664">
      <c r="A664" s="233"/>
      <c r="B664" s="181"/>
      <c r="C664" s="181"/>
      <c r="D664" s="181"/>
      <c r="F664" s="181"/>
      <c r="G664" s="181"/>
      <c r="H664" s="235"/>
    </row>
    <row r="665">
      <c r="A665" s="233"/>
      <c r="B665" s="181"/>
      <c r="C665" s="181"/>
      <c r="D665" s="181"/>
      <c r="F665" s="181"/>
      <c r="G665" s="181"/>
      <c r="H665" s="235"/>
    </row>
    <row r="666">
      <c r="A666" s="233"/>
      <c r="B666" s="181"/>
      <c r="C666" s="181"/>
      <c r="D666" s="181"/>
      <c r="F666" s="181"/>
      <c r="G666" s="181"/>
      <c r="H666" s="235"/>
    </row>
    <row r="667">
      <c r="A667" s="233"/>
      <c r="B667" s="181"/>
      <c r="C667" s="181"/>
      <c r="D667" s="181"/>
      <c r="F667" s="181"/>
      <c r="G667" s="181"/>
      <c r="H667" s="235"/>
    </row>
    <row r="668">
      <c r="A668" s="233"/>
      <c r="B668" s="181"/>
      <c r="C668" s="181"/>
      <c r="D668" s="181"/>
      <c r="F668" s="181"/>
      <c r="G668" s="181"/>
      <c r="H668" s="235"/>
    </row>
    <row r="669">
      <c r="A669" s="233"/>
      <c r="B669" s="181"/>
      <c r="C669" s="181"/>
      <c r="D669" s="181"/>
      <c r="F669" s="181"/>
      <c r="G669" s="181"/>
      <c r="H669" s="235"/>
    </row>
    <row r="670">
      <c r="A670" s="233"/>
      <c r="B670" s="181"/>
      <c r="C670" s="181"/>
      <c r="D670" s="181"/>
      <c r="F670" s="181"/>
      <c r="G670" s="181"/>
      <c r="H670" s="235"/>
    </row>
    <row r="671">
      <c r="A671" s="233"/>
      <c r="B671" s="181"/>
      <c r="C671" s="181"/>
      <c r="D671" s="181"/>
      <c r="F671" s="181"/>
      <c r="G671" s="181"/>
      <c r="H671" s="235"/>
    </row>
    <row r="672">
      <c r="A672" s="233"/>
      <c r="B672" s="181"/>
      <c r="C672" s="181"/>
      <c r="D672" s="181"/>
      <c r="F672" s="181"/>
      <c r="G672" s="181"/>
      <c r="H672" s="235"/>
    </row>
    <row r="673">
      <c r="A673" s="233"/>
      <c r="B673" s="181"/>
      <c r="C673" s="181"/>
      <c r="D673" s="181"/>
      <c r="F673" s="181"/>
      <c r="G673" s="181"/>
      <c r="H673" s="235"/>
    </row>
    <row r="674">
      <c r="A674" s="233"/>
      <c r="B674" s="181"/>
      <c r="C674" s="181"/>
      <c r="D674" s="181"/>
      <c r="F674" s="181"/>
      <c r="G674" s="181"/>
      <c r="H674" s="235"/>
    </row>
    <row r="675">
      <c r="A675" s="233"/>
      <c r="B675" s="181"/>
      <c r="C675" s="181"/>
      <c r="D675" s="181"/>
      <c r="F675" s="181"/>
      <c r="G675" s="181"/>
      <c r="H675" s="235"/>
    </row>
    <row r="676">
      <c r="A676" s="233"/>
      <c r="B676" s="181"/>
      <c r="C676" s="181"/>
      <c r="D676" s="181"/>
      <c r="F676" s="181"/>
      <c r="G676" s="181"/>
      <c r="H676" s="235"/>
    </row>
    <row r="677">
      <c r="A677" s="233"/>
      <c r="B677" s="181"/>
      <c r="C677" s="181"/>
      <c r="D677" s="181"/>
      <c r="F677" s="181"/>
      <c r="G677" s="181"/>
      <c r="H677" s="235"/>
    </row>
    <row r="678">
      <c r="A678" s="233"/>
      <c r="B678" s="181"/>
      <c r="C678" s="181"/>
      <c r="D678" s="181"/>
      <c r="F678" s="181"/>
      <c r="G678" s="181"/>
      <c r="H678" s="235"/>
    </row>
    <row r="679">
      <c r="A679" s="233"/>
      <c r="B679" s="181"/>
      <c r="C679" s="181"/>
      <c r="D679" s="181"/>
      <c r="F679" s="181"/>
      <c r="G679" s="181"/>
      <c r="H679" s="235"/>
    </row>
    <row r="680">
      <c r="A680" s="233"/>
      <c r="B680" s="181"/>
      <c r="C680" s="181"/>
      <c r="D680" s="181"/>
      <c r="F680" s="181"/>
      <c r="G680" s="181"/>
      <c r="H680" s="235"/>
    </row>
    <row r="681">
      <c r="A681" s="233"/>
      <c r="B681" s="181"/>
      <c r="C681" s="181"/>
      <c r="D681" s="181"/>
      <c r="F681" s="181"/>
      <c r="G681" s="181"/>
      <c r="H681" s="235"/>
    </row>
    <row r="682">
      <c r="A682" s="233"/>
      <c r="B682" s="181"/>
      <c r="C682" s="181"/>
      <c r="D682" s="181"/>
      <c r="F682" s="181"/>
      <c r="G682" s="181"/>
      <c r="H682" s="235"/>
    </row>
    <row r="683">
      <c r="A683" s="233"/>
      <c r="B683" s="181"/>
      <c r="C683" s="181"/>
      <c r="D683" s="181"/>
      <c r="F683" s="181"/>
      <c r="G683" s="181"/>
      <c r="H683" s="235"/>
    </row>
    <row r="684">
      <c r="A684" s="233"/>
      <c r="B684" s="181"/>
      <c r="C684" s="181"/>
      <c r="D684" s="181"/>
      <c r="F684" s="181"/>
      <c r="G684" s="181"/>
      <c r="H684" s="235"/>
    </row>
    <row r="685">
      <c r="A685" s="233"/>
      <c r="B685" s="181"/>
      <c r="C685" s="181"/>
      <c r="D685" s="181"/>
      <c r="F685" s="181"/>
      <c r="G685" s="181"/>
      <c r="H685" s="235"/>
    </row>
    <row r="686">
      <c r="A686" s="233"/>
      <c r="B686" s="181"/>
      <c r="C686" s="181"/>
      <c r="D686" s="181"/>
      <c r="F686" s="181"/>
      <c r="G686" s="181"/>
      <c r="H686" s="235"/>
    </row>
    <row r="687">
      <c r="A687" s="233"/>
      <c r="B687" s="181"/>
      <c r="C687" s="181"/>
      <c r="D687" s="181"/>
      <c r="F687" s="181"/>
      <c r="G687" s="181"/>
      <c r="H687" s="235"/>
    </row>
    <row r="688">
      <c r="A688" s="233"/>
      <c r="B688" s="181"/>
      <c r="C688" s="181"/>
      <c r="D688" s="181"/>
      <c r="F688" s="181"/>
      <c r="G688" s="181"/>
      <c r="H688" s="235"/>
    </row>
    <row r="689">
      <c r="A689" s="233"/>
      <c r="B689" s="181"/>
      <c r="C689" s="181"/>
      <c r="D689" s="181"/>
      <c r="F689" s="181"/>
      <c r="G689" s="181"/>
      <c r="H689" s="235"/>
    </row>
    <row r="690">
      <c r="A690" s="233"/>
      <c r="B690" s="181"/>
      <c r="C690" s="181"/>
      <c r="D690" s="181"/>
      <c r="F690" s="181"/>
      <c r="G690" s="181"/>
      <c r="H690" s="235"/>
    </row>
    <row r="691">
      <c r="A691" s="233"/>
      <c r="B691" s="181"/>
      <c r="C691" s="181"/>
      <c r="D691" s="181"/>
      <c r="F691" s="181"/>
      <c r="G691" s="181"/>
      <c r="H691" s="235"/>
    </row>
    <row r="692">
      <c r="A692" s="233"/>
      <c r="B692" s="181"/>
      <c r="C692" s="181"/>
      <c r="D692" s="181"/>
      <c r="F692" s="181"/>
      <c r="G692" s="181"/>
      <c r="H692" s="235"/>
    </row>
    <row r="693">
      <c r="A693" s="233"/>
      <c r="B693" s="181"/>
      <c r="C693" s="181"/>
      <c r="D693" s="181"/>
      <c r="F693" s="181"/>
      <c r="G693" s="181"/>
      <c r="H693" s="235"/>
    </row>
    <row r="694">
      <c r="A694" s="233"/>
      <c r="B694" s="181"/>
      <c r="C694" s="181"/>
      <c r="D694" s="181"/>
      <c r="F694" s="181"/>
      <c r="G694" s="181"/>
      <c r="H694" s="235"/>
    </row>
    <row r="695">
      <c r="A695" s="233"/>
      <c r="B695" s="181"/>
      <c r="C695" s="181"/>
      <c r="D695" s="181"/>
      <c r="F695" s="181"/>
      <c r="G695" s="181"/>
      <c r="H695" s="235"/>
    </row>
    <row r="696">
      <c r="A696" s="233"/>
      <c r="B696" s="181"/>
      <c r="C696" s="181"/>
      <c r="D696" s="181"/>
      <c r="F696" s="181"/>
      <c r="G696" s="181"/>
      <c r="H696" s="235"/>
    </row>
    <row r="697">
      <c r="A697" s="233"/>
      <c r="B697" s="181"/>
      <c r="C697" s="181"/>
      <c r="D697" s="181"/>
      <c r="F697" s="181"/>
      <c r="G697" s="181"/>
      <c r="H697" s="235"/>
    </row>
    <row r="698">
      <c r="A698" s="233"/>
      <c r="B698" s="181"/>
      <c r="C698" s="181"/>
      <c r="D698" s="181"/>
      <c r="F698" s="181"/>
      <c r="G698" s="181"/>
      <c r="H698" s="235"/>
    </row>
    <row r="699">
      <c r="A699" s="233"/>
      <c r="B699" s="181"/>
      <c r="C699" s="181"/>
      <c r="D699" s="181"/>
      <c r="F699" s="181"/>
      <c r="G699" s="181"/>
      <c r="H699" s="235"/>
    </row>
    <row r="700">
      <c r="A700" s="233"/>
      <c r="B700" s="181"/>
      <c r="C700" s="181"/>
      <c r="D700" s="181"/>
      <c r="F700" s="181"/>
      <c r="G700" s="181"/>
      <c r="H700" s="235"/>
    </row>
    <row r="701">
      <c r="A701" s="233"/>
      <c r="B701" s="181"/>
      <c r="C701" s="181"/>
      <c r="D701" s="181"/>
      <c r="F701" s="181"/>
      <c r="G701" s="181"/>
      <c r="H701" s="235"/>
    </row>
    <row r="702">
      <c r="A702" s="233"/>
      <c r="B702" s="181"/>
      <c r="C702" s="181"/>
      <c r="D702" s="181"/>
      <c r="F702" s="181"/>
      <c r="G702" s="181"/>
      <c r="H702" s="235"/>
    </row>
    <row r="703">
      <c r="A703" s="233"/>
      <c r="B703" s="181"/>
      <c r="C703" s="181"/>
      <c r="D703" s="181"/>
      <c r="F703" s="181"/>
      <c r="G703" s="181"/>
      <c r="H703" s="235"/>
    </row>
    <row r="704">
      <c r="A704" s="233"/>
      <c r="B704" s="181"/>
      <c r="C704" s="181"/>
      <c r="D704" s="181"/>
      <c r="F704" s="181"/>
      <c r="G704" s="181"/>
      <c r="H704" s="235"/>
    </row>
    <row r="705">
      <c r="A705" s="233"/>
      <c r="B705" s="181"/>
      <c r="C705" s="181"/>
      <c r="D705" s="181"/>
      <c r="F705" s="181"/>
      <c r="G705" s="181"/>
      <c r="H705" s="235"/>
    </row>
    <row r="706">
      <c r="A706" s="233"/>
      <c r="B706" s="181"/>
      <c r="C706" s="181"/>
      <c r="D706" s="181"/>
      <c r="F706" s="181"/>
      <c r="G706" s="181"/>
      <c r="H706" s="235"/>
    </row>
    <row r="707">
      <c r="A707" s="233"/>
      <c r="B707" s="181"/>
      <c r="C707" s="181"/>
      <c r="D707" s="181"/>
      <c r="F707" s="181"/>
      <c r="G707" s="181"/>
      <c r="H707" s="235"/>
    </row>
    <row r="708">
      <c r="A708" s="233"/>
      <c r="B708" s="181"/>
      <c r="C708" s="181"/>
      <c r="D708" s="181"/>
      <c r="F708" s="181"/>
      <c r="G708" s="181"/>
      <c r="H708" s="235"/>
    </row>
    <row r="709">
      <c r="A709" s="233"/>
      <c r="B709" s="181"/>
      <c r="C709" s="181"/>
      <c r="D709" s="181"/>
      <c r="F709" s="181"/>
      <c r="G709" s="181"/>
      <c r="H709" s="235"/>
    </row>
    <row r="710">
      <c r="A710" s="233"/>
      <c r="B710" s="181"/>
      <c r="C710" s="181"/>
      <c r="D710" s="181"/>
      <c r="F710" s="181"/>
      <c r="G710" s="181"/>
      <c r="H710" s="235"/>
    </row>
    <row r="711">
      <c r="A711" s="233"/>
      <c r="B711" s="181"/>
      <c r="C711" s="181"/>
      <c r="D711" s="181"/>
      <c r="F711" s="181"/>
      <c r="G711" s="181"/>
      <c r="H711" s="235"/>
    </row>
    <row r="712">
      <c r="A712" s="233"/>
      <c r="B712" s="181"/>
      <c r="C712" s="181"/>
      <c r="D712" s="181"/>
      <c r="F712" s="181"/>
      <c r="G712" s="181"/>
      <c r="H712" s="235"/>
    </row>
    <row r="713">
      <c r="A713" s="233"/>
      <c r="B713" s="181"/>
      <c r="C713" s="181"/>
      <c r="D713" s="181"/>
      <c r="F713" s="181"/>
      <c r="G713" s="181"/>
      <c r="H713" s="235"/>
    </row>
    <row r="714">
      <c r="A714" s="233"/>
      <c r="B714" s="181"/>
      <c r="C714" s="181"/>
      <c r="D714" s="181"/>
      <c r="F714" s="181"/>
      <c r="G714" s="181"/>
      <c r="H714" s="235"/>
    </row>
    <row r="715">
      <c r="A715" s="233"/>
      <c r="B715" s="181"/>
      <c r="C715" s="181"/>
      <c r="D715" s="181"/>
      <c r="F715" s="181"/>
      <c r="G715" s="181"/>
      <c r="H715" s="235"/>
    </row>
    <row r="716">
      <c r="A716" s="233"/>
      <c r="B716" s="181"/>
      <c r="C716" s="181"/>
      <c r="D716" s="181"/>
      <c r="F716" s="181"/>
      <c r="G716" s="181"/>
      <c r="H716" s="235"/>
    </row>
    <row r="717">
      <c r="A717" s="233"/>
      <c r="B717" s="181"/>
      <c r="C717" s="181"/>
      <c r="D717" s="181"/>
      <c r="F717" s="181"/>
      <c r="G717" s="181"/>
      <c r="H717" s="235"/>
    </row>
    <row r="718">
      <c r="A718" s="233"/>
      <c r="B718" s="181"/>
      <c r="C718" s="181"/>
      <c r="D718" s="181"/>
      <c r="F718" s="181"/>
      <c r="G718" s="181"/>
      <c r="H718" s="235"/>
    </row>
    <row r="719">
      <c r="A719" s="233"/>
      <c r="B719" s="181"/>
      <c r="C719" s="181"/>
      <c r="D719" s="181"/>
      <c r="F719" s="181"/>
      <c r="G719" s="181"/>
      <c r="H719" s="235"/>
    </row>
    <row r="720">
      <c r="A720" s="233"/>
      <c r="B720" s="181"/>
      <c r="C720" s="181"/>
      <c r="D720" s="181"/>
      <c r="F720" s="181"/>
      <c r="G720" s="181"/>
      <c r="H720" s="235"/>
    </row>
    <row r="721">
      <c r="A721" s="233"/>
      <c r="B721" s="181"/>
      <c r="C721" s="181"/>
      <c r="D721" s="181"/>
      <c r="F721" s="181"/>
      <c r="G721" s="181"/>
      <c r="H721" s="235"/>
    </row>
    <row r="722">
      <c r="A722" s="233"/>
      <c r="B722" s="181"/>
      <c r="C722" s="181"/>
      <c r="D722" s="181"/>
      <c r="F722" s="181"/>
      <c r="G722" s="181"/>
      <c r="H722" s="235"/>
    </row>
    <row r="723">
      <c r="A723" s="233"/>
      <c r="B723" s="181"/>
      <c r="C723" s="181"/>
      <c r="D723" s="181"/>
      <c r="F723" s="181"/>
      <c r="G723" s="181"/>
      <c r="H723" s="235"/>
    </row>
    <row r="724">
      <c r="A724" s="233"/>
      <c r="B724" s="181"/>
      <c r="C724" s="181"/>
      <c r="D724" s="181"/>
      <c r="F724" s="181"/>
      <c r="G724" s="181"/>
      <c r="H724" s="235"/>
    </row>
    <row r="725">
      <c r="A725" s="233"/>
      <c r="B725" s="181"/>
      <c r="C725" s="181"/>
      <c r="D725" s="181"/>
      <c r="F725" s="181"/>
      <c r="G725" s="181"/>
      <c r="H725" s="235"/>
    </row>
    <row r="726">
      <c r="A726" s="233"/>
      <c r="B726" s="181"/>
      <c r="C726" s="181"/>
      <c r="D726" s="181"/>
      <c r="F726" s="181"/>
      <c r="G726" s="181"/>
      <c r="H726" s="235"/>
    </row>
    <row r="727">
      <c r="A727" s="233"/>
      <c r="B727" s="181"/>
      <c r="C727" s="181"/>
      <c r="D727" s="181"/>
      <c r="F727" s="181"/>
      <c r="G727" s="181"/>
      <c r="H727" s="235"/>
    </row>
    <row r="728">
      <c r="A728" s="233"/>
      <c r="B728" s="181"/>
      <c r="C728" s="181"/>
      <c r="D728" s="181"/>
      <c r="F728" s="181"/>
      <c r="G728" s="181"/>
      <c r="H728" s="235"/>
    </row>
    <row r="729">
      <c r="A729" s="233"/>
      <c r="B729" s="181"/>
      <c r="C729" s="181"/>
      <c r="D729" s="181"/>
      <c r="F729" s="181"/>
      <c r="G729" s="181"/>
      <c r="H729" s="235"/>
    </row>
    <row r="730">
      <c r="A730" s="233"/>
      <c r="B730" s="181"/>
      <c r="C730" s="181"/>
      <c r="D730" s="181"/>
      <c r="F730" s="181"/>
      <c r="G730" s="181"/>
      <c r="H730" s="235"/>
    </row>
    <row r="731">
      <c r="A731" s="233"/>
      <c r="B731" s="181"/>
      <c r="C731" s="181"/>
      <c r="D731" s="181"/>
      <c r="F731" s="181"/>
      <c r="G731" s="181"/>
      <c r="H731" s="235"/>
    </row>
    <row r="732">
      <c r="A732" s="233"/>
      <c r="B732" s="181"/>
      <c r="C732" s="181"/>
      <c r="D732" s="181"/>
      <c r="F732" s="181"/>
      <c r="G732" s="181"/>
      <c r="H732" s="235"/>
    </row>
    <row r="733">
      <c r="A733" s="233"/>
      <c r="B733" s="181"/>
      <c r="C733" s="181"/>
      <c r="D733" s="181"/>
      <c r="F733" s="181"/>
      <c r="G733" s="181"/>
      <c r="H733" s="235"/>
    </row>
    <row r="734">
      <c r="A734" s="233"/>
      <c r="B734" s="181"/>
      <c r="C734" s="181"/>
      <c r="D734" s="181"/>
      <c r="F734" s="181"/>
      <c r="G734" s="181"/>
      <c r="H734" s="235"/>
    </row>
    <row r="735">
      <c r="A735" s="233"/>
      <c r="B735" s="181"/>
      <c r="C735" s="181"/>
      <c r="D735" s="181"/>
      <c r="F735" s="181"/>
      <c r="G735" s="181"/>
      <c r="H735" s="235"/>
    </row>
    <row r="736">
      <c r="A736" s="233"/>
      <c r="B736" s="181"/>
      <c r="C736" s="181"/>
      <c r="D736" s="181"/>
      <c r="F736" s="181"/>
      <c r="G736" s="181"/>
      <c r="H736" s="235"/>
    </row>
    <row r="737">
      <c r="A737" s="233"/>
      <c r="B737" s="181"/>
      <c r="C737" s="181"/>
      <c r="D737" s="181"/>
      <c r="F737" s="181"/>
      <c r="G737" s="181"/>
      <c r="H737" s="235"/>
    </row>
    <row r="738">
      <c r="A738" s="233"/>
      <c r="B738" s="181"/>
      <c r="C738" s="181"/>
      <c r="D738" s="181"/>
      <c r="F738" s="181"/>
      <c r="G738" s="181"/>
      <c r="H738" s="235"/>
    </row>
    <row r="739">
      <c r="A739" s="233"/>
      <c r="B739" s="181"/>
      <c r="C739" s="181"/>
      <c r="D739" s="181"/>
      <c r="F739" s="181"/>
      <c r="G739" s="181"/>
      <c r="H739" s="235"/>
    </row>
    <row r="740">
      <c r="A740" s="233"/>
      <c r="B740" s="181"/>
      <c r="C740" s="181"/>
      <c r="D740" s="181"/>
      <c r="F740" s="181"/>
      <c r="G740" s="181"/>
      <c r="H740" s="235"/>
    </row>
    <row r="741">
      <c r="A741" s="233"/>
      <c r="B741" s="181"/>
      <c r="C741" s="181"/>
      <c r="D741" s="181"/>
      <c r="F741" s="181"/>
      <c r="G741" s="181"/>
      <c r="H741" s="235"/>
    </row>
    <row r="742">
      <c r="A742" s="233"/>
      <c r="B742" s="181"/>
      <c r="C742" s="181"/>
      <c r="D742" s="181"/>
      <c r="F742" s="181"/>
      <c r="G742" s="181"/>
      <c r="H742" s="235"/>
    </row>
    <row r="743">
      <c r="A743" s="233"/>
      <c r="B743" s="181"/>
      <c r="C743" s="181"/>
      <c r="D743" s="181"/>
      <c r="F743" s="181"/>
      <c r="G743" s="181"/>
      <c r="H743" s="235"/>
    </row>
    <row r="744">
      <c r="A744" s="233"/>
      <c r="B744" s="181"/>
      <c r="C744" s="181"/>
      <c r="D744" s="181"/>
      <c r="F744" s="181"/>
      <c r="G744" s="181"/>
      <c r="H744" s="235"/>
    </row>
    <row r="745">
      <c r="A745" s="233"/>
      <c r="B745" s="181"/>
      <c r="C745" s="181"/>
      <c r="D745" s="181"/>
      <c r="F745" s="181"/>
      <c r="G745" s="181"/>
      <c r="H745" s="235"/>
    </row>
    <row r="746">
      <c r="A746" s="233"/>
      <c r="B746" s="181"/>
      <c r="C746" s="181"/>
      <c r="D746" s="181"/>
      <c r="F746" s="181"/>
      <c r="G746" s="181"/>
      <c r="H746" s="235"/>
    </row>
    <row r="747">
      <c r="A747" s="233"/>
      <c r="B747" s="181"/>
      <c r="C747" s="181"/>
      <c r="D747" s="181"/>
      <c r="F747" s="181"/>
      <c r="G747" s="181"/>
      <c r="H747" s="235"/>
    </row>
    <row r="748">
      <c r="A748" s="233"/>
      <c r="B748" s="181"/>
      <c r="C748" s="181"/>
      <c r="D748" s="181"/>
      <c r="F748" s="181"/>
      <c r="G748" s="181"/>
      <c r="H748" s="235"/>
    </row>
    <row r="749">
      <c r="A749" s="233"/>
      <c r="B749" s="181"/>
      <c r="C749" s="181"/>
      <c r="D749" s="181"/>
      <c r="F749" s="181"/>
      <c r="G749" s="181"/>
      <c r="H749" s="235"/>
    </row>
    <row r="750">
      <c r="A750" s="233"/>
      <c r="B750" s="181"/>
      <c r="C750" s="181"/>
      <c r="D750" s="181"/>
      <c r="F750" s="181"/>
      <c r="G750" s="181"/>
      <c r="H750" s="235"/>
    </row>
    <row r="751">
      <c r="A751" s="233"/>
      <c r="B751" s="181"/>
      <c r="C751" s="181"/>
      <c r="D751" s="181"/>
      <c r="F751" s="181"/>
      <c r="G751" s="181"/>
      <c r="H751" s="235"/>
    </row>
    <row r="752">
      <c r="A752" s="233"/>
      <c r="B752" s="181"/>
      <c r="C752" s="181"/>
      <c r="D752" s="181"/>
      <c r="F752" s="181"/>
      <c r="G752" s="181"/>
      <c r="H752" s="235"/>
    </row>
    <row r="753">
      <c r="A753" s="233"/>
      <c r="B753" s="181"/>
      <c r="C753" s="181"/>
      <c r="D753" s="181"/>
      <c r="F753" s="181"/>
      <c r="G753" s="181"/>
      <c r="H753" s="235"/>
    </row>
    <row r="754">
      <c r="A754" s="233"/>
      <c r="B754" s="181"/>
      <c r="C754" s="181"/>
      <c r="D754" s="181"/>
      <c r="F754" s="181"/>
      <c r="G754" s="181"/>
      <c r="H754" s="235"/>
    </row>
    <row r="755">
      <c r="A755" s="233"/>
      <c r="B755" s="181"/>
      <c r="C755" s="181"/>
      <c r="D755" s="181"/>
      <c r="F755" s="181"/>
      <c r="G755" s="181"/>
      <c r="H755" s="235"/>
    </row>
    <row r="756">
      <c r="A756" s="233"/>
      <c r="B756" s="181"/>
      <c r="C756" s="181"/>
      <c r="D756" s="181"/>
      <c r="F756" s="181"/>
      <c r="G756" s="181"/>
      <c r="H756" s="235"/>
    </row>
    <row r="757">
      <c r="A757" s="233"/>
      <c r="B757" s="181"/>
      <c r="C757" s="181"/>
      <c r="D757" s="181"/>
      <c r="F757" s="181"/>
      <c r="G757" s="181"/>
      <c r="H757" s="235"/>
    </row>
    <row r="758">
      <c r="A758" s="233"/>
      <c r="B758" s="181"/>
      <c r="C758" s="181"/>
      <c r="D758" s="181"/>
      <c r="F758" s="181"/>
      <c r="G758" s="181"/>
      <c r="H758" s="235"/>
    </row>
    <row r="759">
      <c r="A759" s="233"/>
      <c r="B759" s="181"/>
      <c r="C759" s="181"/>
      <c r="D759" s="181"/>
      <c r="F759" s="181"/>
      <c r="G759" s="181"/>
      <c r="H759" s="235"/>
    </row>
    <row r="760">
      <c r="A760" s="233"/>
      <c r="B760" s="181"/>
      <c r="C760" s="181"/>
      <c r="D760" s="181"/>
      <c r="F760" s="181"/>
      <c r="G760" s="181"/>
      <c r="H760" s="235"/>
    </row>
    <row r="761">
      <c r="A761" s="233"/>
      <c r="B761" s="181"/>
      <c r="C761" s="181"/>
      <c r="D761" s="181"/>
      <c r="F761" s="181"/>
      <c r="G761" s="181"/>
      <c r="H761" s="235"/>
    </row>
    <row r="762">
      <c r="A762" s="233"/>
      <c r="B762" s="181"/>
      <c r="C762" s="181"/>
      <c r="D762" s="181"/>
      <c r="F762" s="181"/>
      <c r="G762" s="181"/>
      <c r="H762" s="235"/>
    </row>
    <row r="763">
      <c r="A763" s="233"/>
      <c r="B763" s="181"/>
      <c r="C763" s="181"/>
      <c r="D763" s="181"/>
      <c r="F763" s="181"/>
      <c r="G763" s="181"/>
      <c r="H763" s="235"/>
    </row>
    <row r="764">
      <c r="A764" s="233"/>
      <c r="B764" s="181"/>
      <c r="C764" s="181"/>
      <c r="D764" s="181"/>
      <c r="F764" s="181"/>
      <c r="G764" s="181"/>
      <c r="H764" s="235"/>
    </row>
    <row r="765">
      <c r="A765" s="233"/>
      <c r="B765" s="181"/>
      <c r="C765" s="181"/>
      <c r="D765" s="181"/>
      <c r="F765" s="181"/>
      <c r="G765" s="181"/>
      <c r="H765" s="235"/>
    </row>
    <row r="766">
      <c r="A766" s="233"/>
      <c r="B766" s="181"/>
      <c r="C766" s="181"/>
      <c r="D766" s="181"/>
      <c r="F766" s="181"/>
      <c r="G766" s="181"/>
      <c r="H766" s="235"/>
    </row>
    <row r="767">
      <c r="A767" s="233"/>
      <c r="B767" s="181"/>
      <c r="C767" s="181"/>
      <c r="D767" s="181"/>
      <c r="F767" s="181"/>
      <c r="G767" s="181"/>
      <c r="H767" s="235"/>
    </row>
    <row r="768">
      <c r="A768" s="233"/>
      <c r="B768" s="181"/>
      <c r="C768" s="181"/>
      <c r="D768" s="181"/>
      <c r="F768" s="181"/>
      <c r="G768" s="181"/>
      <c r="H768" s="235"/>
    </row>
    <row r="769">
      <c r="A769" s="233"/>
      <c r="B769" s="181"/>
      <c r="C769" s="181"/>
      <c r="D769" s="181"/>
      <c r="F769" s="181"/>
      <c r="G769" s="181"/>
      <c r="H769" s="235"/>
    </row>
    <row r="770">
      <c r="A770" s="233"/>
      <c r="B770" s="181"/>
      <c r="C770" s="181"/>
      <c r="D770" s="181"/>
      <c r="F770" s="181"/>
      <c r="G770" s="181"/>
      <c r="H770" s="235"/>
    </row>
    <row r="771">
      <c r="A771" s="233"/>
      <c r="B771" s="181"/>
      <c r="C771" s="181"/>
      <c r="D771" s="181"/>
      <c r="F771" s="181"/>
      <c r="G771" s="181"/>
      <c r="H771" s="235"/>
    </row>
    <row r="772">
      <c r="A772" s="233"/>
      <c r="B772" s="181"/>
      <c r="C772" s="181"/>
      <c r="D772" s="181"/>
      <c r="F772" s="181"/>
      <c r="G772" s="181"/>
      <c r="H772" s="235"/>
    </row>
    <row r="773">
      <c r="A773" s="233"/>
      <c r="B773" s="181"/>
      <c r="C773" s="181"/>
      <c r="D773" s="181"/>
      <c r="F773" s="181"/>
      <c r="G773" s="181"/>
      <c r="H773" s="235"/>
    </row>
    <row r="774">
      <c r="A774" s="233"/>
      <c r="B774" s="181"/>
      <c r="C774" s="181"/>
      <c r="D774" s="181"/>
      <c r="F774" s="181"/>
      <c r="G774" s="181"/>
      <c r="H774" s="235"/>
    </row>
    <row r="775">
      <c r="A775" s="233"/>
      <c r="B775" s="181"/>
      <c r="C775" s="181"/>
      <c r="D775" s="181"/>
      <c r="F775" s="181"/>
      <c r="G775" s="181"/>
      <c r="H775" s="235"/>
    </row>
    <row r="776">
      <c r="A776" s="233"/>
      <c r="B776" s="181"/>
      <c r="C776" s="181"/>
      <c r="D776" s="181"/>
      <c r="F776" s="181"/>
      <c r="G776" s="181"/>
      <c r="H776" s="235"/>
    </row>
    <row r="777">
      <c r="A777" s="233"/>
      <c r="B777" s="181"/>
      <c r="C777" s="181"/>
      <c r="D777" s="181"/>
      <c r="F777" s="181"/>
      <c r="G777" s="181"/>
      <c r="H777" s="235"/>
    </row>
    <row r="778">
      <c r="A778" s="233"/>
      <c r="B778" s="181"/>
      <c r="C778" s="181"/>
      <c r="D778" s="181"/>
      <c r="F778" s="181"/>
      <c r="G778" s="181"/>
      <c r="H778" s="235"/>
    </row>
    <row r="779">
      <c r="A779" s="233"/>
      <c r="B779" s="181"/>
      <c r="C779" s="181"/>
      <c r="D779" s="181"/>
      <c r="F779" s="181"/>
      <c r="G779" s="181"/>
      <c r="H779" s="235"/>
    </row>
    <row r="780">
      <c r="A780" s="233"/>
      <c r="B780" s="181"/>
      <c r="C780" s="181"/>
      <c r="D780" s="181"/>
      <c r="F780" s="181"/>
      <c r="G780" s="181"/>
      <c r="H780" s="23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10.13"/>
    <col customWidth="1" min="5" max="5" width="23.13"/>
    <col customWidth="1" min="6" max="7" width="19.13"/>
    <col customWidth="1" min="8" max="8" width="32.38"/>
    <col customWidth="1" min="9" max="9" width="55.25"/>
  </cols>
  <sheetData>
    <row r="1">
      <c r="A1" s="236" t="s">
        <v>567</v>
      </c>
      <c r="B1" s="237" t="s">
        <v>568</v>
      </c>
      <c r="C1" s="237" t="s">
        <v>569</v>
      </c>
      <c r="D1" s="238" t="s">
        <v>570</v>
      </c>
      <c r="E1" s="239" t="s">
        <v>571</v>
      </c>
      <c r="F1" s="237" t="s">
        <v>572</v>
      </c>
      <c r="G1" s="240"/>
      <c r="H1" s="241" t="s">
        <v>573</v>
      </c>
      <c r="I1" s="27"/>
      <c r="J1" s="27"/>
    </row>
    <row r="2">
      <c r="A2" s="242" t="s">
        <v>574</v>
      </c>
      <c r="B2" s="243" t="s">
        <v>575</v>
      </c>
      <c r="C2" s="244" t="s">
        <v>327</v>
      </c>
      <c r="D2" s="245">
        <v>4390.0</v>
      </c>
      <c r="E2" s="246" t="s">
        <v>576</v>
      </c>
      <c r="F2" s="246" t="s">
        <v>577</v>
      </c>
      <c r="G2" s="240"/>
      <c r="H2" s="247" t="s">
        <v>578</v>
      </c>
      <c r="I2" s="27"/>
      <c r="J2" s="27"/>
    </row>
    <row r="3">
      <c r="A3" s="242" t="s">
        <v>579</v>
      </c>
      <c r="B3" s="243" t="s">
        <v>580</v>
      </c>
      <c r="C3" s="244" t="s">
        <v>429</v>
      </c>
      <c r="D3" s="245">
        <v>3350.0</v>
      </c>
      <c r="E3" s="246">
        <v>46235.0</v>
      </c>
      <c r="F3" s="246" t="s">
        <v>581</v>
      </c>
      <c r="G3" s="248" t="s">
        <v>95</v>
      </c>
      <c r="H3" s="247" t="s">
        <v>582</v>
      </c>
      <c r="I3" s="27"/>
      <c r="J3" s="27"/>
    </row>
    <row r="4">
      <c r="A4" s="249" t="s">
        <v>579</v>
      </c>
      <c r="B4" s="243" t="s">
        <v>583</v>
      </c>
      <c r="C4" s="250" t="s">
        <v>584</v>
      </c>
      <c r="D4" s="245">
        <v>3795.0</v>
      </c>
      <c r="E4" s="246" t="s">
        <v>576</v>
      </c>
      <c r="F4" s="246" t="s">
        <v>577</v>
      </c>
      <c r="G4" s="251" t="s">
        <v>17</v>
      </c>
      <c r="H4" s="252" t="s">
        <v>585</v>
      </c>
      <c r="I4" s="27"/>
      <c r="J4" s="27"/>
    </row>
    <row r="5">
      <c r="A5" s="242" t="s">
        <v>579</v>
      </c>
      <c r="B5" s="243" t="s">
        <v>586</v>
      </c>
      <c r="C5" s="244" t="s">
        <v>587</v>
      </c>
      <c r="D5" s="245">
        <v>3620.0</v>
      </c>
      <c r="E5" s="246" t="s">
        <v>576</v>
      </c>
      <c r="F5" s="246" t="s">
        <v>577</v>
      </c>
      <c r="G5" s="253" t="s">
        <v>17</v>
      </c>
      <c r="H5" s="252" t="s">
        <v>588</v>
      </c>
      <c r="I5" s="27"/>
      <c r="J5" s="27"/>
    </row>
    <row r="6">
      <c r="A6" s="242" t="s">
        <v>579</v>
      </c>
      <c r="B6" s="243" t="s">
        <v>589</v>
      </c>
      <c r="C6" s="244" t="s">
        <v>291</v>
      </c>
      <c r="D6" s="245">
        <v>6100.0</v>
      </c>
      <c r="E6" s="246" t="s">
        <v>576</v>
      </c>
      <c r="F6" s="254" t="s">
        <v>577</v>
      </c>
      <c r="G6" s="248" t="s">
        <v>17</v>
      </c>
      <c r="H6" s="252" t="s">
        <v>590</v>
      </c>
      <c r="I6" s="27"/>
      <c r="J6" s="27"/>
    </row>
    <row r="7">
      <c r="A7" s="27"/>
      <c r="B7" s="150"/>
      <c r="C7" s="27"/>
      <c r="D7" s="255"/>
      <c r="E7" s="256"/>
      <c r="F7" s="27"/>
      <c r="G7" s="150"/>
      <c r="H7" s="27"/>
      <c r="I7" s="27"/>
      <c r="J7" s="27"/>
    </row>
    <row r="8">
      <c r="A8" s="150"/>
      <c r="B8" s="150"/>
      <c r="C8" s="150"/>
      <c r="D8" s="150"/>
      <c r="E8" s="150"/>
      <c r="F8" s="150"/>
      <c r="G8" s="150"/>
      <c r="H8" s="150"/>
      <c r="I8" s="27"/>
      <c r="J8" s="27"/>
    </row>
    <row r="9">
      <c r="A9" s="150"/>
      <c r="B9" s="150"/>
      <c r="C9" s="150"/>
      <c r="D9" s="255"/>
      <c r="E9" s="256"/>
      <c r="F9" s="256"/>
      <c r="G9" s="150"/>
      <c r="H9" s="27"/>
      <c r="I9" s="27"/>
      <c r="J9" s="27"/>
    </row>
    <row r="10">
      <c r="A10" s="27"/>
      <c r="B10" s="27"/>
      <c r="C10" s="27"/>
      <c r="D10" s="255"/>
      <c r="E10" s="257"/>
      <c r="F10" s="256"/>
      <c r="G10" s="27"/>
      <c r="H10" s="27"/>
      <c r="I10" s="27"/>
      <c r="J10" s="27"/>
    </row>
    <row r="11">
      <c r="A11" s="27"/>
      <c r="B11" s="27"/>
      <c r="C11" s="27"/>
      <c r="D11" s="255"/>
      <c r="E11" s="256"/>
      <c r="F11" s="27"/>
      <c r="G11" s="27"/>
      <c r="H11" s="27"/>
      <c r="I11" s="27"/>
      <c r="J11" s="27"/>
    </row>
    <row r="12">
      <c r="A12" s="27"/>
      <c r="B12" s="27"/>
      <c r="C12" s="27"/>
      <c r="D12" s="255"/>
      <c r="E12" s="256"/>
      <c r="F12" s="27"/>
      <c r="G12" s="27"/>
      <c r="H12" s="27"/>
      <c r="I12" s="27"/>
      <c r="J12" s="27"/>
    </row>
    <row r="13">
      <c r="A13" s="27"/>
      <c r="B13" s="27"/>
      <c r="C13" s="27"/>
      <c r="D13" s="255"/>
      <c r="E13" s="256"/>
      <c r="F13" s="257"/>
      <c r="G13" s="27"/>
      <c r="H13" s="27"/>
      <c r="I13" s="27"/>
      <c r="J13" s="27"/>
    </row>
    <row r="14">
      <c r="A14" s="27"/>
      <c r="B14" s="27"/>
      <c r="C14" s="27"/>
      <c r="D14" s="255"/>
      <c r="E14" s="256"/>
      <c r="F14" s="27"/>
      <c r="G14" s="27"/>
      <c r="H14" s="27"/>
      <c r="I14" s="27"/>
      <c r="J14" s="27"/>
    </row>
    <row r="15">
      <c r="A15" s="27"/>
      <c r="B15" s="27"/>
      <c r="C15" s="27"/>
      <c r="D15" s="255"/>
      <c r="E15" s="256"/>
      <c r="F15" s="256"/>
      <c r="G15" s="27"/>
      <c r="H15" s="27"/>
      <c r="I15" s="27"/>
      <c r="J15" s="27"/>
    </row>
    <row r="16">
      <c r="A16" s="27"/>
      <c r="B16" s="27"/>
      <c r="C16" s="27"/>
      <c r="D16" s="255"/>
      <c r="E16" s="256"/>
      <c r="F16" s="256"/>
      <c r="G16" s="27"/>
      <c r="H16" s="27"/>
      <c r="I16" s="27"/>
      <c r="J16" s="27"/>
    </row>
    <row r="17">
      <c r="A17" s="27"/>
      <c r="B17" s="27"/>
      <c r="C17" s="27"/>
      <c r="D17" s="255"/>
      <c r="E17" s="256"/>
      <c r="F17" s="256"/>
      <c r="G17" s="27"/>
      <c r="H17" s="27"/>
      <c r="I17" s="27"/>
      <c r="J17" s="27"/>
    </row>
    <row r="18">
      <c r="A18" s="27"/>
      <c r="B18" s="27"/>
      <c r="C18" s="27"/>
      <c r="D18" s="255"/>
      <c r="E18" s="256"/>
      <c r="F18" s="256"/>
      <c r="G18" s="27"/>
      <c r="H18" s="27"/>
      <c r="I18" s="27"/>
      <c r="J18" s="27"/>
    </row>
    <row r="19">
      <c r="A19" s="27"/>
      <c r="B19" s="27"/>
      <c r="C19" s="27"/>
      <c r="D19" s="255"/>
      <c r="E19" s="256"/>
      <c r="F19" s="256"/>
      <c r="G19" s="27"/>
      <c r="H19" s="27"/>
      <c r="I19" s="27"/>
      <c r="J19" s="27"/>
    </row>
    <row r="20">
      <c r="A20" s="27"/>
      <c r="B20" s="27"/>
      <c r="C20" s="27"/>
      <c r="D20" s="255"/>
      <c r="E20" s="256"/>
      <c r="F20" s="256"/>
      <c r="G20" s="27"/>
      <c r="H20" s="27"/>
      <c r="I20" s="27"/>
      <c r="J20" s="27"/>
    </row>
    <row r="21">
      <c r="A21" s="27"/>
      <c r="B21" s="27"/>
      <c r="C21" s="27"/>
      <c r="D21" s="255"/>
      <c r="E21" s="256"/>
      <c r="F21" s="256"/>
      <c r="G21" s="27"/>
      <c r="H21" s="27"/>
      <c r="I21" s="27"/>
      <c r="J21" s="27"/>
    </row>
    <row r="22">
      <c r="A22" s="27"/>
      <c r="B22" s="27"/>
      <c r="C22" s="27"/>
      <c r="D22" s="255"/>
      <c r="E22" s="256"/>
      <c r="F22" s="27"/>
      <c r="G22" s="27"/>
      <c r="H22" s="27"/>
      <c r="I22" s="27"/>
      <c r="J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</row>
    <row r="41">
      <c r="A41" s="27"/>
      <c r="B41" s="27"/>
      <c r="C41" s="27"/>
      <c r="D41" s="27"/>
      <c r="E41" s="27"/>
      <c r="F41" s="27"/>
      <c r="G41" s="27"/>
      <c r="H41" s="27"/>
      <c r="I41" s="27"/>
    </row>
    <row r="42">
      <c r="A42" s="27"/>
      <c r="B42" s="27"/>
      <c r="C42" s="27"/>
      <c r="D42" s="27"/>
      <c r="E42" s="27"/>
      <c r="F42" s="27"/>
      <c r="G42" s="27"/>
      <c r="H42" s="27"/>
      <c r="I42" s="27"/>
    </row>
    <row r="43">
      <c r="A43" s="27"/>
      <c r="B43" s="27"/>
      <c r="C43" s="27"/>
      <c r="D43" s="27"/>
      <c r="E43" s="27"/>
      <c r="F43" s="27"/>
      <c r="G43" s="27"/>
      <c r="H43" s="27"/>
      <c r="I43" s="27"/>
    </row>
    <row r="44">
      <c r="A44" s="27"/>
      <c r="B44" s="27"/>
      <c r="C44" s="27"/>
      <c r="D44" s="27"/>
      <c r="E44" s="27"/>
      <c r="F44" s="27"/>
      <c r="G44" s="27"/>
      <c r="H44" s="27"/>
      <c r="I44" s="27"/>
    </row>
    <row r="45">
      <c r="A45" s="27"/>
      <c r="B45" s="27"/>
      <c r="C45" s="27"/>
      <c r="D45" s="27"/>
      <c r="E45" s="27"/>
      <c r="F45" s="27"/>
      <c r="G45" s="27"/>
      <c r="H45" s="27"/>
      <c r="I45" s="27"/>
    </row>
    <row r="46">
      <c r="A46" s="27"/>
      <c r="B46" s="27"/>
      <c r="C46" s="27"/>
      <c r="D46" s="27"/>
      <c r="E46" s="27"/>
      <c r="F46" s="27"/>
      <c r="G46" s="27"/>
      <c r="H46" s="27"/>
      <c r="I46" s="27"/>
    </row>
    <row r="47">
      <c r="A47" s="27"/>
      <c r="B47" s="27"/>
      <c r="C47" s="27"/>
      <c r="D47" s="27"/>
      <c r="E47" s="27"/>
      <c r="F47" s="27"/>
      <c r="G47" s="27"/>
      <c r="H47" s="27"/>
      <c r="I47" s="27"/>
    </row>
    <row r="48">
      <c r="A48" s="27"/>
      <c r="B48" s="27"/>
      <c r="C48" s="27"/>
      <c r="D48" s="27"/>
      <c r="E48" s="27"/>
      <c r="F48" s="27"/>
      <c r="G48" s="27"/>
      <c r="H48" s="27"/>
      <c r="I48" s="27"/>
    </row>
    <row r="49">
      <c r="A49" s="27"/>
      <c r="B49" s="27"/>
      <c r="C49" s="27"/>
      <c r="D49" s="27"/>
      <c r="E49" s="27"/>
      <c r="F49" s="27"/>
      <c r="G49" s="27"/>
      <c r="H49" s="27"/>
      <c r="I49" s="27"/>
    </row>
    <row r="50">
      <c r="A50" s="27"/>
      <c r="B50" s="27"/>
      <c r="C50" s="27"/>
      <c r="D50" s="27"/>
      <c r="E50" s="27"/>
      <c r="F50" s="27"/>
      <c r="G50" s="27"/>
      <c r="H50" s="27"/>
      <c r="I50" s="27"/>
    </row>
    <row r="51">
      <c r="A51" s="27"/>
      <c r="B51" s="27"/>
      <c r="C51" s="27"/>
      <c r="D51" s="27"/>
      <c r="E51" s="27"/>
      <c r="F51" s="27"/>
      <c r="G51" s="27"/>
      <c r="H51" s="27"/>
      <c r="I51" s="27"/>
    </row>
    <row r="52">
      <c r="A52" s="27"/>
      <c r="B52" s="27"/>
      <c r="C52" s="27"/>
      <c r="D52" s="27"/>
      <c r="E52" s="27"/>
      <c r="F52" s="27"/>
      <c r="G52" s="27"/>
      <c r="H52" s="27"/>
      <c r="I52" s="27"/>
    </row>
    <row r="53">
      <c r="A53" s="27"/>
      <c r="B53" s="27"/>
      <c r="C53" s="27"/>
      <c r="D53" s="27"/>
      <c r="E53" s="27"/>
      <c r="F53" s="27"/>
      <c r="G53" s="27"/>
      <c r="H53" s="27"/>
      <c r="I53" s="27"/>
    </row>
    <row r="54">
      <c r="A54" s="27"/>
      <c r="B54" s="27"/>
      <c r="C54" s="27"/>
      <c r="D54" s="27"/>
      <c r="E54" s="27"/>
      <c r="F54" s="27"/>
      <c r="G54" s="27"/>
      <c r="H54" s="27"/>
      <c r="I54" s="27"/>
    </row>
    <row r="55">
      <c r="A55" s="27"/>
      <c r="B55" s="27"/>
      <c r="C55" s="27"/>
      <c r="D55" s="27"/>
      <c r="E55" s="27"/>
      <c r="F55" s="27"/>
      <c r="G55" s="27"/>
      <c r="H55" s="27"/>
      <c r="I55" s="27"/>
    </row>
    <row r="56">
      <c r="A56" s="27"/>
      <c r="B56" s="27"/>
      <c r="C56" s="27"/>
      <c r="D56" s="27"/>
      <c r="E56" s="27"/>
      <c r="F56" s="27"/>
      <c r="G56" s="27"/>
      <c r="H56" s="27"/>
      <c r="I56" s="27"/>
    </row>
    <row r="57">
      <c r="A57" s="27"/>
      <c r="B57" s="27"/>
      <c r="C57" s="27"/>
      <c r="D57" s="27"/>
      <c r="E57" s="27"/>
      <c r="F57" s="27"/>
      <c r="G57" s="27"/>
      <c r="H57" s="27"/>
    </row>
    <row r="58">
      <c r="A58" s="27"/>
      <c r="B58" s="27"/>
      <c r="C58" s="27"/>
      <c r="D58" s="27"/>
      <c r="E58" s="27"/>
      <c r="F58" s="27"/>
      <c r="G58" s="27"/>
      <c r="H58" s="27"/>
    </row>
    <row r="59">
      <c r="A59" s="27"/>
      <c r="B59" s="27"/>
      <c r="C59" s="27"/>
      <c r="D59" s="27"/>
      <c r="E59" s="27"/>
      <c r="F59" s="27"/>
      <c r="G59" s="27"/>
      <c r="H59" s="27"/>
    </row>
    <row r="60">
      <c r="A60" s="27"/>
      <c r="B60" s="27"/>
      <c r="C60" s="27"/>
      <c r="D60" s="27"/>
      <c r="E60" s="27"/>
      <c r="F60" s="27"/>
      <c r="G60" s="27"/>
      <c r="H60" s="27"/>
    </row>
    <row r="61">
      <c r="A61" s="27"/>
      <c r="B61" s="27"/>
      <c r="C61" s="27"/>
      <c r="D61" s="27"/>
      <c r="E61" s="27"/>
      <c r="F61" s="27"/>
      <c r="G61" s="27"/>
      <c r="H61" s="27"/>
    </row>
    <row r="62">
      <c r="A62" s="27"/>
      <c r="B62" s="27"/>
      <c r="C62" s="27"/>
      <c r="D62" s="27"/>
      <c r="E62" s="27"/>
      <c r="F62" s="27"/>
      <c r="G62" s="27"/>
      <c r="H62" s="27"/>
    </row>
    <row r="63">
      <c r="A63" s="27"/>
      <c r="B63" s="27"/>
      <c r="C63" s="27"/>
      <c r="D63" s="27"/>
      <c r="E63" s="27"/>
      <c r="F63" s="27"/>
      <c r="G63" s="27"/>
      <c r="H63" s="27"/>
    </row>
    <row r="64">
      <c r="A64" s="27"/>
      <c r="B64" s="27"/>
      <c r="C64" s="27"/>
      <c r="D64" s="27"/>
      <c r="E64" s="27"/>
      <c r="F64" s="27"/>
      <c r="G64" s="27"/>
      <c r="H64" s="27"/>
    </row>
    <row r="65">
      <c r="E65" s="233"/>
      <c r="F65" s="233"/>
      <c r="G65" s="233"/>
    </row>
    <row r="66">
      <c r="E66" s="233"/>
      <c r="F66" s="233"/>
      <c r="G66" s="233"/>
    </row>
    <row r="67">
      <c r="E67" s="233"/>
      <c r="F67" s="233"/>
      <c r="G67" s="233"/>
    </row>
    <row r="68">
      <c r="E68" s="233"/>
      <c r="F68" s="233"/>
      <c r="G68" s="233"/>
    </row>
    <row r="69">
      <c r="E69" s="233"/>
      <c r="F69" s="233"/>
      <c r="G69" s="233"/>
    </row>
    <row r="70">
      <c r="E70" s="233"/>
      <c r="F70" s="233"/>
      <c r="G70" s="233"/>
    </row>
    <row r="71">
      <c r="E71" s="233"/>
      <c r="F71" s="233"/>
      <c r="G71" s="233"/>
    </row>
    <row r="72">
      <c r="E72" s="233"/>
      <c r="F72" s="233"/>
      <c r="G72" s="233"/>
    </row>
    <row r="73">
      <c r="E73" s="233"/>
      <c r="F73" s="233"/>
      <c r="G73" s="233"/>
    </row>
    <row r="74">
      <c r="E74" s="233"/>
      <c r="F74" s="233"/>
      <c r="G74" s="233"/>
    </row>
    <row r="75">
      <c r="E75" s="233"/>
      <c r="F75" s="233"/>
      <c r="G75" s="233"/>
    </row>
    <row r="76">
      <c r="E76" s="233"/>
      <c r="F76" s="233"/>
      <c r="G76" s="233"/>
    </row>
    <row r="77">
      <c r="E77" s="233"/>
      <c r="F77" s="233"/>
      <c r="G77" s="233"/>
    </row>
    <row r="78">
      <c r="E78" s="233"/>
      <c r="F78" s="233"/>
      <c r="G78" s="233"/>
    </row>
    <row r="79">
      <c r="E79" s="233"/>
      <c r="F79" s="233"/>
      <c r="G79" s="233"/>
    </row>
    <row r="80">
      <c r="E80" s="233"/>
      <c r="F80" s="233"/>
      <c r="G80" s="233"/>
    </row>
    <row r="81">
      <c r="E81" s="233"/>
      <c r="F81" s="233"/>
      <c r="G81" s="233"/>
    </row>
    <row r="82">
      <c r="E82" s="233"/>
      <c r="F82" s="233"/>
      <c r="G82" s="233"/>
    </row>
    <row r="83">
      <c r="E83" s="233"/>
      <c r="F83" s="233"/>
      <c r="G83" s="233"/>
    </row>
    <row r="84">
      <c r="E84" s="233"/>
      <c r="F84" s="233"/>
      <c r="G84" s="233"/>
    </row>
    <row r="85">
      <c r="E85" s="233"/>
      <c r="F85" s="233"/>
      <c r="G85" s="233"/>
    </row>
    <row r="86">
      <c r="E86" s="233"/>
      <c r="F86" s="233"/>
      <c r="G86" s="233"/>
    </row>
    <row r="87">
      <c r="E87" s="233"/>
      <c r="F87" s="233"/>
      <c r="G87" s="233"/>
    </row>
    <row r="88">
      <c r="E88" s="233"/>
      <c r="F88" s="233"/>
      <c r="G88" s="233"/>
    </row>
    <row r="89">
      <c r="E89" s="233"/>
      <c r="F89" s="233"/>
      <c r="G89" s="233"/>
    </row>
    <row r="90">
      <c r="E90" s="233"/>
      <c r="F90" s="233"/>
      <c r="G90" s="233"/>
    </row>
    <row r="91">
      <c r="E91" s="233"/>
      <c r="F91" s="233"/>
      <c r="G91" s="233"/>
    </row>
    <row r="92">
      <c r="E92" s="233"/>
      <c r="F92" s="233"/>
      <c r="G92" s="233"/>
    </row>
    <row r="93">
      <c r="E93" s="233"/>
      <c r="F93" s="233"/>
      <c r="G93" s="233"/>
    </row>
    <row r="94">
      <c r="E94" s="233"/>
      <c r="F94" s="233"/>
      <c r="G94" s="233"/>
    </row>
    <row r="95">
      <c r="E95" s="233"/>
      <c r="F95" s="233"/>
      <c r="G95" s="233"/>
    </row>
    <row r="96">
      <c r="E96" s="233"/>
      <c r="F96" s="233"/>
      <c r="G96" s="233"/>
    </row>
    <row r="97">
      <c r="E97" s="233"/>
      <c r="F97" s="233"/>
      <c r="G97" s="233"/>
    </row>
    <row r="98">
      <c r="E98" s="233"/>
      <c r="F98" s="233"/>
      <c r="G98" s="233"/>
    </row>
    <row r="99">
      <c r="E99" s="233"/>
      <c r="F99" s="233"/>
      <c r="G99" s="233"/>
    </row>
    <row r="100">
      <c r="E100" s="233"/>
      <c r="F100" s="233"/>
      <c r="G100" s="233"/>
    </row>
    <row r="101">
      <c r="E101" s="233"/>
      <c r="F101" s="233"/>
      <c r="G101" s="233"/>
    </row>
    <row r="102">
      <c r="E102" s="233"/>
      <c r="F102" s="233"/>
      <c r="G102" s="233"/>
    </row>
    <row r="103">
      <c r="E103" s="233"/>
      <c r="F103" s="233"/>
      <c r="G103" s="233"/>
    </row>
    <row r="104">
      <c r="E104" s="233"/>
      <c r="F104" s="233"/>
      <c r="G104" s="233"/>
    </row>
    <row r="105">
      <c r="E105" s="233"/>
      <c r="F105" s="233"/>
      <c r="G105" s="233"/>
    </row>
    <row r="106">
      <c r="E106" s="233"/>
      <c r="F106" s="233"/>
      <c r="G106" s="233"/>
    </row>
    <row r="107">
      <c r="E107" s="233"/>
      <c r="F107" s="233"/>
      <c r="G107" s="233"/>
    </row>
    <row r="108">
      <c r="E108" s="233"/>
      <c r="F108" s="233"/>
      <c r="G108" s="233"/>
    </row>
    <row r="109">
      <c r="E109" s="233"/>
      <c r="F109" s="233"/>
      <c r="G109" s="233"/>
    </row>
    <row r="110">
      <c r="E110" s="233"/>
      <c r="F110" s="233"/>
      <c r="G110" s="233"/>
    </row>
    <row r="111">
      <c r="E111" s="233"/>
      <c r="F111" s="233"/>
      <c r="G111" s="233"/>
    </row>
    <row r="112">
      <c r="E112" s="233"/>
      <c r="F112" s="233"/>
      <c r="G112" s="233"/>
    </row>
    <row r="113">
      <c r="E113" s="233"/>
      <c r="F113" s="233"/>
      <c r="G113" s="233"/>
    </row>
    <row r="114">
      <c r="E114" s="233"/>
      <c r="F114" s="233"/>
      <c r="G114" s="233"/>
    </row>
    <row r="115">
      <c r="E115" s="233"/>
      <c r="F115" s="233"/>
      <c r="G115" s="233"/>
    </row>
    <row r="116">
      <c r="E116" s="233"/>
      <c r="F116" s="233"/>
      <c r="G116" s="233"/>
    </row>
    <row r="117">
      <c r="E117" s="233"/>
      <c r="F117" s="233"/>
      <c r="G117" s="233"/>
    </row>
    <row r="118">
      <c r="E118" s="233"/>
      <c r="F118" s="233"/>
      <c r="G118" s="233"/>
    </row>
    <row r="119">
      <c r="E119" s="233"/>
      <c r="F119" s="233"/>
      <c r="G119" s="233"/>
    </row>
    <row r="120">
      <c r="E120" s="233"/>
      <c r="F120" s="233"/>
      <c r="G120" s="233"/>
    </row>
    <row r="121">
      <c r="E121" s="233"/>
      <c r="F121" s="233"/>
      <c r="G121" s="233"/>
    </row>
    <row r="122">
      <c r="E122" s="233"/>
      <c r="F122" s="233"/>
      <c r="G122" s="233"/>
    </row>
    <row r="123">
      <c r="E123" s="233"/>
      <c r="F123" s="233"/>
      <c r="G123" s="233"/>
    </row>
    <row r="124">
      <c r="E124" s="233"/>
      <c r="F124" s="233"/>
      <c r="G124" s="233"/>
    </row>
    <row r="125">
      <c r="E125" s="233"/>
      <c r="F125" s="233"/>
      <c r="G125" s="233"/>
    </row>
    <row r="126">
      <c r="E126" s="233"/>
      <c r="F126" s="233"/>
      <c r="G126" s="233"/>
    </row>
    <row r="127">
      <c r="E127" s="233"/>
      <c r="F127" s="233"/>
      <c r="G127" s="233"/>
    </row>
    <row r="128">
      <c r="E128" s="233"/>
      <c r="F128" s="233"/>
      <c r="G128" s="233"/>
    </row>
    <row r="129">
      <c r="E129" s="233"/>
      <c r="F129" s="233"/>
      <c r="G129" s="233"/>
    </row>
    <row r="130">
      <c r="E130" s="233"/>
      <c r="F130" s="233"/>
      <c r="G130" s="233"/>
    </row>
    <row r="131">
      <c r="E131" s="233"/>
      <c r="F131" s="233"/>
      <c r="G131" s="233"/>
    </row>
    <row r="132">
      <c r="E132" s="233"/>
      <c r="F132" s="233"/>
      <c r="G132" s="233"/>
    </row>
    <row r="133">
      <c r="E133" s="233"/>
      <c r="F133" s="233"/>
      <c r="G133" s="233"/>
    </row>
    <row r="134">
      <c r="E134" s="233"/>
      <c r="F134" s="233"/>
      <c r="G134" s="233"/>
    </row>
    <row r="135">
      <c r="E135" s="233"/>
      <c r="F135" s="233"/>
      <c r="G135" s="233"/>
    </row>
    <row r="136">
      <c r="E136" s="233"/>
      <c r="F136" s="233"/>
      <c r="G136" s="233"/>
    </row>
    <row r="137">
      <c r="E137" s="233"/>
      <c r="F137" s="233"/>
      <c r="G137" s="233"/>
    </row>
    <row r="138">
      <c r="E138" s="233"/>
      <c r="F138" s="233"/>
      <c r="G138" s="233"/>
    </row>
    <row r="139">
      <c r="E139" s="233"/>
      <c r="F139" s="233"/>
      <c r="G139" s="233"/>
    </row>
    <row r="140">
      <c r="E140" s="233"/>
      <c r="F140" s="233"/>
      <c r="G140" s="233"/>
    </row>
    <row r="141">
      <c r="E141" s="233"/>
      <c r="F141" s="233"/>
      <c r="G141" s="233"/>
    </row>
    <row r="142">
      <c r="E142" s="233"/>
      <c r="F142" s="233"/>
      <c r="G142" s="233"/>
    </row>
    <row r="143">
      <c r="E143" s="233"/>
      <c r="F143" s="233"/>
      <c r="G143" s="233"/>
    </row>
    <row r="144">
      <c r="E144" s="233"/>
      <c r="F144" s="233"/>
      <c r="G144" s="233"/>
    </row>
    <row r="145">
      <c r="E145" s="233"/>
      <c r="F145" s="233"/>
      <c r="G145" s="233"/>
    </row>
    <row r="146">
      <c r="E146" s="233"/>
      <c r="F146" s="233"/>
      <c r="G146" s="233"/>
    </row>
    <row r="147">
      <c r="E147" s="233"/>
      <c r="F147" s="233"/>
      <c r="G147" s="233"/>
    </row>
    <row r="148">
      <c r="E148" s="233"/>
      <c r="F148" s="233"/>
      <c r="G148" s="233"/>
    </row>
    <row r="149">
      <c r="E149" s="233"/>
      <c r="F149" s="233"/>
      <c r="G149" s="233"/>
    </row>
    <row r="150">
      <c r="E150" s="233"/>
      <c r="F150" s="233"/>
      <c r="G150" s="233"/>
    </row>
    <row r="151">
      <c r="E151" s="233"/>
      <c r="F151" s="233"/>
      <c r="G151" s="233"/>
    </row>
    <row r="152">
      <c r="E152" s="233"/>
      <c r="F152" s="233"/>
      <c r="G152" s="233"/>
    </row>
    <row r="153">
      <c r="E153" s="233"/>
      <c r="F153" s="233"/>
      <c r="G153" s="233"/>
    </row>
    <row r="154">
      <c r="E154" s="233"/>
      <c r="F154" s="233"/>
      <c r="G154" s="233"/>
    </row>
    <row r="155">
      <c r="E155" s="233"/>
      <c r="F155" s="233"/>
      <c r="G155" s="233"/>
    </row>
    <row r="156">
      <c r="E156" s="233"/>
      <c r="F156" s="233"/>
      <c r="G156" s="233"/>
    </row>
    <row r="157">
      <c r="E157" s="233"/>
      <c r="F157" s="233"/>
      <c r="G157" s="233"/>
    </row>
    <row r="158">
      <c r="E158" s="233"/>
      <c r="F158" s="233"/>
      <c r="G158" s="233"/>
    </row>
    <row r="159">
      <c r="E159" s="233"/>
      <c r="F159" s="233"/>
      <c r="G159" s="233"/>
    </row>
    <row r="160">
      <c r="E160" s="233"/>
      <c r="F160" s="233"/>
      <c r="G160" s="233"/>
    </row>
    <row r="161">
      <c r="E161" s="233"/>
      <c r="F161" s="233"/>
      <c r="G161" s="233"/>
    </row>
    <row r="162">
      <c r="E162" s="233"/>
      <c r="F162" s="233"/>
      <c r="G162" s="233"/>
    </row>
    <row r="163">
      <c r="E163" s="233"/>
      <c r="F163" s="233"/>
      <c r="G163" s="233"/>
    </row>
    <row r="164">
      <c r="E164" s="233"/>
      <c r="F164" s="233"/>
      <c r="G164" s="233"/>
    </row>
    <row r="165">
      <c r="E165" s="233"/>
      <c r="F165" s="233"/>
      <c r="G165" s="233"/>
    </row>
    <row r="166">
      <c r="E166" s="233"/>
      <c r="F166" s="233"/>
      <c r="G166" s="233"/>
    </row>
    <row r="167">
      <c r="E167" s="233"/>
      <c r="F167" s="233"/>
      <c r="G167" s="233"/>
    </row>
    <row r="168">
      <c r="E168" s="233"/>
      <c r="F168" s="233"/>
      <c r="G168" s="233"/>
    </row>
    <row r="169">
      <c r="E169" s="233"/>
      <c r="F169" s="233"/>
      <c r="G169" s="233"/>
    </row>
    <row r="170">
      <c r="E170" s="233"/>
      <c r="F170" s="233"/>
      <c r="G170" s="233"/>
    </row>
    <row r="171">
      <c r="E171" s="233"/>
      <c r="F171" s="233"/>
      <c r="G171" s="233"/>
    </row>
    <row r="172">
      <c r="E172" s="233"/>
      <c r="F172" s="233"/>
      <c r="G172" s="233"/>
    </row>
    <row r="173">
      <c r="E173" s="233"/>
      <c r="F173" s="233"/>
      <c r="G173" s="233"/>
    </row>
    <row r="174">
      <c r="E174" s="233"/>
      <c r="F174" s="233"/>
      <c r="G174" s="233"/>
    </row>
    <row r="175">
      <c r="E175" s="233"/>
      <c r="F175" s="233"/>
      <c r="G175" s="233"/>
    </row>
    <row r="176">
      <c r="E176" s="233"/>
      <c r="F176" s="233"/>
      <c r="G176" s="233"/>
    </row>
    <row r="177">
      <c r="E177" s="233"/>
      <c r="F177" s="233"/>
      <c r="G177" s="233"/>
    </row>
    <row r="178">
      <c r="E178" s="233"/>
      <c r="F178" s="233"/>
      <c r="G178" s="233"/>
    </row>
    <row r="179">
      <c r="E179" s="233"/>
      <c r="F179" s="233"/>
      <c r="G179" s="233"/>
    </row>
    <row r="180">
      <c r="E180" s="233"/>
      <c r="F180" s="233"/>
      <c r="G180" s="233"/>
    </row>
    <row r="181">
      <c r="E181" s="233"/>
      <c r="F181" s="233"/>
      <c r="G181" s="233"/>
    </row>
    <row r="182">
      <c r="E182" s="233"/>
      <c r="F182" s="233"/>
      <c r="G182" s="233"/>
    </row>
    <row r="183">
      <c r="E183" s="233"/>
      <c r="F183" s="233"/>
      <c r="G183" s="233"/>
    </row>
    <row r="184">
      <c r="E184" s="233"/>
      <c r="F184" s="233"/>
      <c r="G184" s="233"/>
    </row>
    <row r="185">
      <c r="E185" s="233"/>
      <c r="F185" s="233"/>
      <c r="G185" s="233"/>
    </row>
    <row r="186">
      <c r="E186" s="233"/>
      <c r="F186" s="233"/>
      <c r="G186" s="233"/>
    </row>
    <row r="187">
      <c r="E187" s="233"/>
      <c r="F187" s="233"/>
      <c r="G187" s="233"/>
    </row>
    <row r="188">
      <c r="E188" s="233"/>
      <c r="F188" s="233"/>
      <c r="G188" s="233"/>
    </row>
    <row r="189">
      <c r="E189" s="233"/>
      <c r="F189" s="233"/>
      <c r="G189" s="233"/>
    </row>
    <row r="190">
      <c r="E190" s="233"/>
      <c r="F190" s="233"/>
      <c r="G190" s="233"/>
    </row>
    <row r="191">
      <c r="E191" s="233"/>
      <c r="F191" s="233"/>
      <c r="G191" s="233"/>
    </row>
    <row r="192">
      <c r="E192" s="233"/>
      <c r="F192" s="233"/>
      <c r="G192" s="233"/>
    </row>
    <row r="193">
      <c r="E193" s="233"/>
      <c r="F193" s="233"/>
      <c r="G193" s="233"/>
    </row>
    <row r="194">
      <c r="E194" s="233"/>
      <c r="F194" s="233"/>
      <c r="G194" s="233"/>
    </row>
    <row r="195">
      <c r="E195" s="233"/>
      <c r="F195" s="233"/>
      <c r="G195" s="233"/>
    </row>
    <row r="196">
      <c r="E196" s="233"/>
      <c r="F196" s="233"/>
      <c r="G196" s="233"/>
    </row>
    <row r="197">
      <c r="E197" s="233"/>
      <c r="F197" s="233"/>
      <c r="G197" s="233"/>
    </row>
    <row r="198">
      <c r="E198" s="233"/>
      <c r="F198" s="233"/>
      <c r="G198" s="233"/>
    </row>
    <row r="199">
      <c r="E199" s="233"/>
      <c r="F199" s="233"/>
      <c r="G199" s="233"/>
    </row>
    <row r="200">
      <c r="E200" s="233"/>
      <c r="F200" s="233"/>
      <c r="G200" s="233"/>
    </row>
    <row r="201">
      <c r="E201" s="233"/>
      <c r="F201" s="233"/>
      <c r="G201" s="233"/>
    </row>
    <row r="202">
      <c r="E202" s="233"/>
      <c r="F202" s="233"/>
      <c r="G202" s="233"/>
    </row>
    <row r="203">
      <c r="E203" s="233"/>
      <c r="F203" s="233"/>
      <c r="G203" s="233"/>
    </row>
    <row r="204">
      <c r="E204" s="233"/>
      <c r="F204" s="233"/>
      <c r="G204" s="233"/>
    </row>
    <row r="205">
      <c r="E205" s="233"/>
      <c r="F205" s="233"/>
      <c r="G205" s="233"/>
    </row>
    <row r="206">
      <c r="E206" s="233"/>
      <c r="F206" s="233"/>
      <c r="G206" s="233"/>
    </row>
    <row r="207">
      <c r="E207" s="233"/>
      <c r="F207" s="233"/>
      <c r="G207" s="233"/>
    </row>
    <row r="208">
      <c r="E208" s="233"/>
      <c r="F208" s="233"/>
      <c r="G208" s="233"/>
    </row>
    <row r="209">
      <c r="E209" s="233"/>
      <c r="F209" s="233"/>
      <c r="G209" s="233"/>
    </row>
    <row r="210">
      <c r="E210" s="233"/>
      <c r="F210" s="233"/>
      <c r="G210" s="233"/>
    </row>
    <row r="211">
      <c r="E211" s="233"/>
      <c r="F211" s="233"/>
      <c r="G211" s="233"/>
    </row>
    <row r="212">
      <c r="E212" s="233"/>
      <c r="F212" s="233"/>
      <c r="G212" s="233"/>
    </row>
    <row r="213">
      <c r="E213" s="233"/>
      <c r="F213" s="233"/>
      <c r="G213" s="233"/>
    </row>
    <row r="214">
      <c r="E214" s="233"/>
      <c r="F214" s="233"/>
      <c r="G214" s="233"/>
    </row>
    <row r="215">
      <c r="E215" s="233"/>
      <c r="F215" s="233"/>
      <c r="G215" s="233"/>
    </row>
    <row r="216">
      <c r="E216" s="233"/>
      <c r="F216" s="233"/>
      <c r="G216" s="233"/>
    </row>
    <row r="217">
      <c r="E217" s="233"/>
      <c r="F217" s="233"/>
      <c r="G217" s="233"/>
    </row>
    <row r="218">
      <c r="E218" s="233"/>
      <c r="F218" s="233"/>
      <c r="G218" s="233"/>
    </row>
    <row r="219">
      <c r="E219" s="233"/>
      <c r="F219" s="233"/>
      <c r="G219" s="233"/>
    </row>
    <row r="220">
      <c r="E220" s="233"/>
      <c r="F220" s="233"/>
      <c r="G220" s="233"/>
    </row>
    <row r="221">
      <c r="E221" s="233"/>
      <c r="F221" s="233"/>
      <c r="G221" s="233"/>
    </row>
    <row r="222">
      <c r="E222" s="233"/>
      <c r="F222" s="233"/>
      <c r="G222" s="233"/>
    </row>
    <row r="223">
      <c r="E223" s="233"/>
      <c r="F223" s="233"/>
      <c r="G223" s="233"/>
    </row>
    <row r="224">
      <c r="E224" s="233"/>
      <c r="F224" s="233"/>
      <c r="G224" s="233"/>
    </row>
    <row r="225">
      <c r="E225" s="233"/>
      <c r="F225" s="233"/>
      <c r="G225" s="233"/>
    </row>
    <row r="226">
      <c r="E226" s="233"/>
      <c r="F226" s="233"/>
      <c r="G226" s="233"/>
    </row>
    <row r="227">
      <c r="E227" s="233"/>
      <c r="F227" s="233"/>
      <c r="G227" s="233"/>
    </row>
    <row r="228">
      <c r="E228" s="233"/>
      <c r="F228" s="233"/>
      <c r="G228" s="233"/>
    </row>
    <row r="229">
      <c r="E229" s="233"/>
      <c r="F229" s="233"/>
      <c r="G229" s="233"/>
    </row>
    <row r="230">
      <c r="E230" s="233"/>
      <c r="F230" s="233"/>
      <c r="G230" s="233"/>
    </row>
    <row r="231">
      <c r="E231" s="233"/>
      <c r="F231" s="233"/>
      <c r="G231" s="233"/>
    </row>
    <row r="232">
      <c r="E232" s="233"/>
      <c r="F232" s="233"/>
      <c r="G232" s="233"/>
    </row>
    <row r="233">
      <c r="E233" s="233"/>
      <c r="F233" s="233"/>
      <c r="G233" s="233"/>
    </row>
    <row r="234">
      <c r="E234" s="233"/>
      <c r="F234" s="233"/>
      <c r="G234" s="233"/>
    </row>
    <row r="235">
      <c r="E235" s="233"/>
      <c r="F235" s="233"/>
      <c r="G235" s="233"/>
    </row>
    <row r="236">
      <c r="E236" s="233"/>
      <c r="F236" s="233"/>
      <c r="G236" s="233"/>
    </row>
    <row r="237">
      <c r="E237" s="233"/>
      <c r="F237" s="233"/>
      <c r="G237" s="233"/>
    </row>
    <row r="238">
      <c r="E238" s="233"/>
      <c r="F238" s="233"/>
      <c r="G238" s="233"/>
    </row>
    <row r="239">
      <c r="E239" s="233"/>
      <c r="F239" s="233"/>
      <c r="G239" s="233"/>
    </row>
    <row r="240">
      <c r="E240" s="233"/>
      <c r="F240" s="233"/>
      <c r="G240" s="233"/>
    </row>
    <row r="241">
      <c r="E241" s="233"/>
      <c r="F241" s="233"/>
      <c r="G241" s="233"/>
    </row>
    <row r="242">
      <c r="E242" s="233"/>
      <c r="F242" s="233"/>
      <c r="G242" s="233"/>
    </row>
    <row r="243">
      <c r="E243" s="233"/>
      <c r="F243" s="233"/>
      <c r="G243" s="233"/>
    </row>
    <row r="244">
      <c r="E244" s="233"/>
      <c r="F244" s="233"/>
      <c r="G244" s="233"/>
    </row>
    <row r="245">
      <c r="E245" s="233"/>
      <c r="F245" s="233"/>
      <c r="G245" s="233"/>
    </row>
    <row r="246">
      <c r="E246" s="233"/>
      <c r="F246" s="233"/>
      <c r="G246" s="233"/>
    </row>
    <row r="247">
      <c r="E247" s="233"/>
      <c r="F247" s="233"/>
      <c r="G247" s="233"/>
    </row>
    <row r="248">
      <c r="E248" s="233"/>
      <c r="F248" s="233"/>
      <c r="G248" s="233"/>
    </row>
    <row r="249">
      <c r="E249" s="233"/>
      <c r="F249" s="233"/>
      <c r="G249" s="233"/>
    </row>
    <row r="250">
      <c r="E250" s="233"/>
      <c r="F250" s="233"/>
      <c r="G250" s="233"/>
    </row>
    <row r="251">
      <c r="E251" s="233"/>
      <c r="F251" s="233"/>
      <c r="G251" s="233"/>
    </row>
    <row r="252">
      <c r="E252" s="233"/>
      <c r="F252" s="233"/>
      <c r="G252" s="233"/>
    </row>
    <row r="253">
      <c r="E253" s="233"/>
      <c r="F253" s="233"/>
      <c r="G253" s="233"/>
    </row>
    <row r="254">
      <c r="E254" s="233"/>
      <c r="F254" s="233"/>
      <c r="G254" s="233"/>
    </row>
    <row r="255">
      <c r="E255" s="233"/>
      <c r="F255" s="233"/>
      <c r="G255" s="233"/>
    </row>
    <row r="256">
      <c r="E256" s="233"/>
      <c r="F256" s="233"/>
      <c r="G256" s="233"/>
    </row>
    <row r="257">
      <c r="E257" s="233"/>
      <c r="F257" s="233"/>
      <c r="G257" s="233"/>
    </row>
    <row r="258">
      <c r="E258" s="233"/>
      <c r="F258" s="233"/>
      <c r="G258" s="233"/>
    </row>
    <row r="259">
      <c r="E259" s="233"/>
      <c r="F259" s="233"/>
      <c r="G259" s="233"/>
    </row>
    <row r="260">
      <c r="E260" s="233"/>
      <c r="F260" s="233"/>
      <c r="G260" s="233"/>
    </row>
    <row r="261">
      <c r="E261" s="233"/>
      <c r="F261" s="233"/>
      <c r="G261" s="233"/>
    </row>
    <row r="262">
      <c r="E262" s="233"/>
      <c r="F262" s="233"/>
      <c r="G262" s="233"/>
    </row>
    <row r="263">
      <c r="E263" s="233"/>
      <c r="F263" s="233"/>
      <c r="G263" s="233"/>
    </row>
    <row r="264">
      <c r="E264" s="233"/>
      <c r="F264" s="233"/>
      <c r="G264" s="233"/>
    </row>
    <row r="265">
      <c r="E265" s="233"/>
      <c r="F265" s="233"/>
      <c r="G265" s="233"/>
    </row>
    <row r="266">
      <c r="E266" s="233"/>
      <c r="F266" s="233"/>
      <c r="G266" s="233"/>
    </row>
    <row r="267">
      <c r="E267" s="233"/>
      <c r="F267" s="233"/>
      <c r="G267" s="233"/>
    </row>
    <row r="268">
      <c r="E268" s="233"/>
      <c r="F268" s="233"/>
      <c r="G268" s="233"/>
    </row>
    <row r="269">
      <c r="E269" s="233"/>
      <c r="F269" s="233"/>
      <c r="G269" s="233"/>
    </row>
    <row r="270">
      <c r="E270" s="233"/>
      <c r="F270" s="233"/>
      <c r="G270" s="233"/>
    </row>
    <row r="271">
      <c r="E271" s="233"/>
      <c r="F271" s="233"/>
      <c r="G271" s="233"/>
    </row>
    <row r="272">
      <c r="E272" s="233"/>
      <c r="F272" s="233"/>
      <c r="G272" s="233"/>
    </row>
    <row r="273">
      <c r="E273" s="233"/>
      <c r="F273" s="233"/>
      <c r="G273" s="233"/>
    </row>
    <row r="274">
      <c r="E274" s="233"/>
      <c r="F274" s="233"/>
      <c r="G274" s="233"/>
    </row>
    <row r="275">
      <c r="E275" s="233"/>
      <c r="F275" s="233"/>
      <c r="G275" s="233"/>
    </row>
    <row r="276">
      <c r="E276" s="233"/>
      <c r="F276" s="233"/>
      <c r="G276" s="233"/>
    </row>
    <row r="277">
      <c r="E277" s="233"/>
      <c r="F277" s="233"/>
      <c r="G277" s="233"/>
    </row>
    <row r="278">
      <c r="E278" s="233"/>
      <c r="F278" s="233"/>
      <c r="G278" s="233"/>
    </row>
    <row r="279">
      <c r="E279" s="233"/>
      <c r="F279" s="233"/>
      <c r="G279" s="233"/>
    </row>
    <row r="280">
      <c r="E280" s="233"/>
      <c r="F280" s="233"/>
      <c r="G280" s="233"/>
    </row>
    <row r="281">
      <c r="E281" s="233"/>
      <c r="F281" s="233"/>
      <c r="G281" s="233"/>
    </row>
    <row r="282">
      <c r="E282" s="233"/>
      <c r="F282" s="233"/>
      <c r="G282" s="233"/>
    </row>
    <row r="283">
      <c r="E283" s="233"/>
      <c r="F283" s="233"/>
      <c r="G283" s="233"/>
    </row>
    <row r="284">
      <c r="E284" s="233"/>
      <c r="F284" s="233"/>
      <c r="G284" s="233"/>
    </row>
    <row r="285">
      <c r="E285" s="233"/>
      <c r="F285" s="233"/>
      <c r="G285" s="233"/>
    </row>
    <row r="286">
      <c r="E286" s="233"/>
      <c r="F286" s="233"/>
      <c r="G286" s="233"/>
    </row>
    <row r="287">
      <c r="E287" s="233"/>
      <c r="F287" s="233"/>
      <c r="G287" s="233"/>
    </row>
    <row r="288">
      <c r="E288" s="233"/>
      <c r="F288" s="233"/>
      <c r="G288" s="233"/>
    </row>
    <row r="289">
      <c r="E289" s="233"/>
      <c r="F289" s="233"/>
      <c r="G289" s="233"/>
    </row>
    <row r="290">
      <c r="E290" s="233"/>
      <c r="F290" s="233"/>
      <c r="G290" s="233"/>
    </row>
    <row r="291">
      <c r="E291" s="233"/>
      <c r="F291" s="233"/>
      <c r="G291" s="233"/>
    </row>
    <row r="292">
      <c r="E292" s="233"/>
      <c r="F292" s="233"/>
      <c r="G292" s="233"/>
    </row>
    <row r="293">
      <c r="E293" s="233"/>
      <c r="F293" s="233"/>
      <c r="G293" s="233"/>
    </row>
    <row r="294">
      <c r="E294" s="233"/>
      <c r="F294" s="233"/>
      <c r="G294" s="233"/>
    </row>
    <row r="295">
      <c r="E295" s="233"/>
      <c r="F295" s="233"/>
      <c r="G295" s="233"/>
    </row>
    <row r="296">
      <c r="E296" s="233"/>
      <c r="F296" s="233"/>
      <c r="G296" s="233"/>
    </row>
    <row r="297">
      <c r="E297" s="233"/>
      <c r="F297" s="233"/>
      <c r="G297" s="233"/>
    </row>
    <row r="298">
      <c r="E298" s="233"/>
      <c r="F298" s="233"/>
      <c r="G298" s="233"/>
    </row>
    <row r="299">
      <c r="E299" s="233"/>
      <c r="F299" s="233"/>
      <c r="G299" s="233"/>
    </row>
    <row r="300">
      <c r="E300" s="233"/>
      <c r="F300" s="233"/>
      <c r="G300" s="233"/>
    </row>
    <row r="301">
      <c r="E301" s="233"/>
      <c r="F301" s="233"/>
      <c r="G301" s="233"/>
    </row>
    <row r="302">
      <c r="E302" s="233"/>
      <c r="F302" s="233"/>
      <c r="G302" s="233"/>
    </row>
    <row r="303">
      <c r="E303" s="233"/>
      <c r="F303" s="233"/>
      <c r="G303" s="233"/>
    </row>
    <row r="304">
      <c r="E304" s="233"/>
      <c r="F304" s="233"/>
      <c r="G304" s="233"/>
    </row>
    <row r="305">
      <c r="E305" s="233"/>
      <c r="F305" s="233"/>
      <c r="G305" s="233"/>
    </row>
    <row r="306">
      <c r="E306" s="233"/>
      <c r="F306" s="233"/>
      <c r="G306" s="233"/>
    </row>
    <row r="307">
      <c r="E307" s="233"/>
      <c r="F307" s="233"/>
      <c r="G307" s="233"/>
    </row>
    <row r="308">
      <c r="E308" s="233"/>
      <c r="F308" s="233"/>
      <c r="G308" s="233"/>
    </row>
    <row r="309">
      <c r="E309" s="233"/>
      <c r="F309" s="233"/>
      <c r="G309" s="233"/>
    </row>
    <row r="310">
      <c r="E310" s="233"/>
      <c r="F310" s="233"/>
      <c r="G310" s="233"/>
    </row>
    <row r="311">
      <c r="E311" s="233"/>
      <c r="F311" s="233"/>
      <c r="G311" s="233"/>
    </row>
    <row r="312">
      <c r="E312" s="233"/>
      <c r="F312" s="233"/>
      <c r="G312" s="233"/>
    </row>
    <row r="313">
      <c r="E313" s="233"/>
      <c r="F313" s="233"/>
      <c r="G313" s="233"/>
    </row>
    <row r="314">
      <c r="E314" s="233"/>
      <c r="F314" s="233"/>
      <c r="G314" s="233"/>
    </row>
    <row r="315">
      <c r="E315" s="233"/>
      <c r="F315" s="233"/>
      <c r="G315" s="233"/>
    </row>
    <row r="316">
      <c r="E316" s="233"/>
      <c r="F316" s="233"/>
      <c r="G316" s="233"/>
    </row>
    <row r="317">
      <c r="E317" s="233"/>
      <c r="F317" s="233"/>
      <c r="G317" s="233"/>
    </row>
    <row r="318">
      <c r="E318" s="233"/>
      <c r="F318" s="233"/>
      <c r="G318" s="233"/>
    </row>
    <row r="319">
      <c r="E319" s="233"/>
      <c r="F319" s="233"/>
      <c r="G319" s="233"/>
    </row>
    <row r="320">
      <c r="E320" s="233"/>
      <c r="F320" s="233"/>
      <c r="G320" s="233"/>
    </row>
    <row r="321">
      <c r="E321" s="233"/>
      <c r="F321" s="233"/>
      <c r="G321" s="233"/>
    </row>
    <row r="322">
      <c r="E322" s="233"/>
      <c r="F322" s="233"/>
      <c r="G322" s="233"/>
    </row>
    <row r="323">
      <c r="E323" s="233"/>
      <c r="F323" s="233"/>
      <c r="G323" s="233"/>
    </row>
    <row r="324">
      <c r="E324" s="233"/>
      <c r="F324" s="233"/>
      <c r="G324" s="233"/>
    </row>
    <row r="325">
      <c r="E325" s="233"/>
      <c r="F325" s="233"/>
      <c r="G325" s="233"/>
    </row>
    <row r="326">
      <c r="E326" s="233"/>
      <c r="F326" s="233"/>
      <c r="G326" s="233"/>
    </row>
    <row r="327">
      <c r="E327" s="233"/>
      <c r="F327" s="233"/>
      <c r="G327" s="233"/>
    </row>
    <row r="328">
      <c r="E328" s="233"/>
      <c r="F328" s="233"/>
      <c r="G328" s="233"/>
    </row>
    <row r="329">
      <c r="E329" s="233"/>
      <c r="F329" s="233"/>
      <c r="G329" s="233"/>
    </row>
    <row r="330">
      <c r="E330" s="233"/>
      <c r="F330" s="233"/>
      <c r="G330" s="233"/>
    </row>
    <row r="331">
      <c r="E331" s="233"/>
      <c r="F331" s="233"/>
      <c r="G331" s="233"/>
    </row>
    <row r="332">
      <c r="E332" s="233"/>
      <c r="F332" s="233"/>
      <c r="G332" s="233"/>
    </row>
    <row r="333">
      <c r="E333" s="233"/>
      <c r="F333" s="233"/>
      <c r="G333" s="233"/>
    </row>
    <row r="334">
      <c r="E334" s="233"/>
      <c r="F334" s="233"/>
      <c r="G334" s="233"/>
    </row>
    <row r="335">
      <c r="E335" s="233"/>
      <c r="F335" s="233"/>
      <c r="G335" s="233"/>
    </row>
    <row r="336">
      <c r="E336" s="233"/>
      <c r="F336" s="233"/>
      <c r="G336" s="233"/>
    </row>
    <row r="337">
      <c r="E337" s="233"/>
      <c r="F337" s="233"/>
      <c r="G337" s="233"/>
    </row>
    <row r="338">
      <c r="E338" s="233"/>
      <c r="F338" s="233"/>
      <c r="G338" s="233"/>
    </row>
    <row r="339">
      <c r="E339" s="233"/>
      <c r="F339" s="233"/>
      <c r="G339" s="233"/>
    </row>
    <row r="340">
      <c r="E340" s="233"/>
      <c r="F340" s="233"/>
      <c r="G340" s="233"/>
    </row>
    <row r="341">
      <c r="E341" s="233"/>
      <c r="F341" s="233"/>
      <c r="G341" s="233"/>
    </row>
    <row r="342">
      <c r="E342" s="233"/>
      <c r="F342" s="233"/>
      <c r="G342" s="233"/>
    </row>
    <row r="343">
      <c r="E343" s="233"/>
      <c r="F343" s="233"/>
      <c r="G343" s="233"/>
    </row>
    <row r="344">
      <c r="E344" s="233"/>
      <c r="F344" s="233"/>
      <c r="G344" s="233"/>
    </row>
    <row r="345">
      <c r="E345" s="233"/>
      <c r="F345" s="233"/>
      <c r="G345" s="233"/>
    </row>
    <row r="346">
      <c r="E346" s="233"/>
      <c r="F346" s="233"/>
      <c r="G346" s="233"/>
    </row>
    <row r="347">
      <c r="E347" s="233"/>
      <c r="F347" s="233"/>
      <c r="G347" s="233"/>
    </row>
    <row r="348">
      <c r="E348" s="233"/>
      <c r="F348" s="233"/>
      <c r="G348" s="233"/>
    </row>
    <row r="349">
      <c r="E349" s="233"/>
      <c r="F349" s="233"/>
      <c r="G349" s="233"/>
    </row>
    <row r="350">
      <c r="E350" s="233"/>
      <c r="F350" s="233"/>
      <c r="G350" s="233"/>
    </row>
    <row r="351">
      <c r="E351" s="233"/>
      <c r="F351" s="233"/>
      <c r="G351" s="233"/>
    </row>
    <row r="352">
      <c r="E352" s="233"/>
      <c r="F352" s="233"/>
      <c r="G352" s="233"/>
    </row>
    <row r="353">
      <c r="E353" s="233"/>
      <c r="F353" s="233"/>
      <c r="G353" s="233"/>
    </row>
    <row r="354">
      <c r="E354" s="233"/>
      <c r="F354" s="233"/>
      <c r="G354" s="233"/>
    </row>
    <row r="355">
      <c r="E355" s="233"/>
      <c r="F355" s="233"/>
      <c r="G355" s="233"/>
    </row>
    <row r="356">
      <c r="E356" s="233"/>
      <c r="F356" s="233"/>
      <c r="G356" s="233"/>
    </row>
    <row r="357">
      <c r="E357" s="233"/>
      <c r="F357" s="233"/>
      <c r="G357" s="233"/>
    </row>
    <row r="358">
      <c r="E358" s="233"/>
      <c r="F358" s="233"/>
      <c r="G358" s="233"/>
    </row>
    <row r="359">
      <c r="E359" s="233"/>
      <c r="F359" s="233"/>
      <c r="G359" s="233"/>
    </row>
    <row r="360">
      <c r="E360" s="233"/>
      <c r="F360" s="233"/>
      <c r="G360" s="233"/>
    </row>
    <row r="361">
      <c r="E361" s="233"/>
      <c r="F361" s="233"/>
      <c r="G361" s="233"/>
    </row>
    <row r="362">
      <c r="E362" s="233"/>
      <c r="F362" s="233"/>
      <c r="G362" s="233"/>
    </row>
    <row r="363">
      <c r="E363" s="233"/>
      <c r="F363" s="233"/>
      <c r="G363" s="233"/>
    </row>
    <row r="364">
      <c r="E364" s="233"/>
      <c r="F364" s="233"/>
      <c r="G364" s="233"/>
    </row>
    <row r="365">
      <c r="E365" s="233"/>
      <c r="F365" s="233"/>
      <c r="G365" s="233"/>
    </row>
    <row r="366">
      <c r="E366" s="233"/>
      <c r="F366" s="233"/>
      <c r="G366" s="233"/>
    </row>
    <row r="367">
      <c r="E367" s="233"/>
      <c r="F367" s="233"/>
      <c r="G367" s="233"/>
    </row>
    <row r="368">
      <c r="E368" s="233"/>
      <c r="F368" s="233"/>
      <c r="G368" s="233"/>
    </row>
    <row r="369">
      <c r="E369" s="233"/>
      <c r="F369" s="233"/>
      <c r="G369" s="233"/>
    </row>
    <row r="370">
      <c r="E370" s="233"/>
      <c r="F370" s="233"/>
      <c r="G370" s="233"/>
    </row>
    <row r="371">
      <c r="E371" s="233"/>
      <c r="F371" s="233"/>
      <c r="G371" s="233"/>
    </row>
    <row r="372">
      <c r="E372" s="233"/>
      <c r="F372" s="233"/>
      <c r="G372" s="233"/>
    </row>
    <row r="373">
      <c r="E373" s="233"/>
      <c r="F373" s="233"/>
      <c r="G373" s="233"/>
    </row>
    <row r="374">
      <c r="E374" s="233"/>
      <c r="F374" s="233"/>
      <c r="G374" s="233"/>
    </row>
    <row r="375">
      <c r="E375" s="233"/>
      <c r="F375" s="233"/>
      <c r="G375" s="233"/>
    </row>
    <row r="376">
      <c r="E376" s="233"/>
      <c r="F376" s="233"/>
      <c r="G376" s="233"/>
    </row>
    <row r="377">
      <c r="E377" s="233"/>
      <c r="F377" s="233"/>
      <c r="G377" s="233"/>
    </row>
    <row r="378">
      <c r="E378" s="233"/>
      <c r="F378" s="233"/>
      <c r="G378" s="233"/>
    </row>
    <row r="379">
      <c r="E379" s="233"/>
      <c r="F379" s="233"/>
      <c r="G379" s="233"/>
    </row>
    <row r="380">
      <c r="E380" s="233"/>
      <c r="F380" s="233"/>
      <c r="G380" s="233"/>
    </row>
    <row r="381">
      <c r="E381" s="233"/>
      <c r="F381" s="233"/>
      <c r="G381" s="233"/>
    </row>
    <row r="382">
      <c r="E382" s="233"/>
      <c r="F382" s="233"/>
      <c r="G382" s="233"/>
    </row>
    <row r="383">
      <c r="E383" s="233"/>
      <c r="F383" s="233"/>
      <c r="G383" s="233"/>
    </row>
    <row r="384">
      <c r="E384" s="233"/>
      <c r="F384" s="233"/>
      <c r="G384" s="233"/>
    </row>
    <row r="385">
      <c r="E385" s="233"/>
      <c r="F385" s="233"/>
      <c r="G385" s="233"/>
    </row>
    <row r="386">
      <c r="E386" s="233"/>
      <c r="F386" s="233"/>
      <c r="G386" s="233"/>
    </row>
    <row r="387">
      <c r="E387" s="233"/>
      <c r="F387" s="233"/>
      <c r="G387" s="233"/>
    </row>
    <row r="388">
      <c r="E388" s="233"/>
      <c r="F388" s="233"/>
      <c r="G388" s="233"/>
    </row>
    <row r="389">
      <c r="E389" s="233"/>
      <c r="F389" s="233"/>
      <c r="G389" s="233"/>
    </row>
    <row r="390">
      <c r="E390" s="233"/>
      <c r="F390" s="233"/>
      <c r="G390" s="233"/>
    </row>
    <row r="391">
      <c r="E391" s="233"/>
      <c r="F391" s="233"/>
      <c r="G391" s="233"/>
    </row>
    <row r="392">
      <c r="E392" s="233"/>
      <c r="F392" s="233"/>
      <c r="G392" s="233"/>
    </row>
    <row r="393">
      <c r="E393" s="233"/>
      <c r="F393" s="233"/>
      <c r="G393" s="233"/>
    </row>
    <row r="394">
      <c r="E394" s="233"/>
      <c r="F394" s="233"/>
      <c r="G394" s="233"/>
    </row>
    <row r="395">
      <c r="E395" s="233"/>
      <c r="F395" s="233"/>
      <c r="G395" s="233"/>
    </row>
    <row r="396">
      <c r="E396" s="233"/>
      <c r="F396" s="233"/>
      <c r="G396" s="233"/>
    </row>
    <row r="397">
      <c r="E397" s="233"/>
      <c r="F397" s="233"/>
      <c r="G397" s="233"/>
    </row>
    <row r="398">
      <c r="E398" s="233"/>
      <c r="F398" s="233"/>
      <c r="G398" s="233"/>
    </row>
    <row r="399">
      <c r="E399" s="233"/>
      <c r="F399" s="233"/>
      <c r="G399" s="233"/>
    </row>
    <row r="400">
      <c r="E400" s="233"/>
      <c r="F400" s="233"/>
      <c r="G400" s="233"/>
    </row>
    <row r="401">
      <c r="E401" s="233"/>
      <c r="F401" s="233"/>
      <c r="G401" s="233"/>
    </row>
    <row r="402">
      <c r="E402" s="233"/>
      <c r="F402" s="233"/>
      <c r="G402" s="233"/>
    </row>
    <row r="403">
      <c r="E403" s="233"/>
      <c r="F403" s="233"/>
      <c r="G403" s="233"/>
    </row>
    <row r="404">
      <c r="E404" s="233"/>
      <c r="F404" s="233"/>
      <c r="G404" s="233"/>
    </row>
    <row r="405">
      <c r="E405" s="233"/>
      <c r="F405" s="233"/>
      <c r="G405" s="233"/>
    </row>
    <row r="406">
      <c r="E406" s="233"/>
      <c r="F406" s="233"/>
      <c r="G406" s="233"/>
    </row>
    <row r="407">
      <c r="E407" s="233"/>
      <c r="F407" s="233"/>
      <c r="G407" s="233"/>
    </row>
    <row r="408">
      <c r="E408" s="233"/>
      <c r="F408" s="233"/>
      <c r="G408" s="233"/>
    </row>
    <row r="409">
      <c r="E409" s="233"/>
      <c r="F409" s="233"/>
      <c r="G409" s="233"/>
    </row>
    <row r="410">
      <c r="E410" s="233"/>
      <c r="F410" s="233"/>
      <c r="G410" s="233"/>
    </row>
    <row r="411">
      <c r="E411" s="233"/>
      <c r="F411" s="233"/>
      <c r="G411" s="233"/>
    </row>
    <row r="412">
      <c r="E412" s="233"/>
      <c r="F412" s="233"/>
      <c r="G412" s="233"/>
    </row>
    <row r="413">
      <c r="E413" s="233"/>
      <c r="F413" s="233"/>
      <c r="G413" s="233"/>
    </row>
    <row r="414">
      <c r="E414" s="233"/>
      <c r="F414" s="233"/>
      <c r="G414" s="233"/>
    </row>
    <row r="415">
      <c r="E415" s="233"/>
      <c r="F415" s="233"/>
      <c r="G415" s="233"/>
    </row>
    <row r="416">
      <c r="E416" s="233"/>
      <c r="F416" s="233"/>
      <c r="G416" s="233"/>
    </row>
    <row r="417">
      <c r="E417" s="233"/>
      <c r="F417" s="233"/>
      <c r="G417" s="233"/>
    </row>
    <row r="418">
      <c r="E418" s="233"/>
      <c r="F418" s="233"/>
      <c r="G418" s="233"/>
    </row>
    <row r="419">
      <c r="E419" s="233"/>
      <c r="F419" s="233"/>
      <c r="G419" s="233"/>
    </row>
    <row r="420">
      <c r="E420" s="233"/>
      <c r="F420" s="233"/>
      <c r="G420" s="233"/>
    </row>
    <row r="421">
      <c r="E421" s="233"/>
      <c r="F421" s="233"/>
      <c r="G421" s="233"/>
    </row>
    <row r="422">
      <c r="E422" s="233"/>
      <c r="F422" s="233"/>
      <c r="G422" s="233"/>
    </row>
    <row r="423">
      <c r="E423" s="233"/>
      <c r="F423" s="233"/>
      <c r="G423" s="233"/>
    </row>
    <row r="424">
      <c r="E424" s="233"/>
      <c r="F424" s="233"/>
      <c r="G424" s="233"/>
    </row>
    <row r="425">
      <c r="E425" s="233"/>
      <c r="F425" s="233"/>
      <c r="G425" s="233"/>
    </row>
    <row r="426">
      <c r="E426" s="233"/>
      <c r="F426" s="233"/>
      <c r="G426" s="233"/>
    </row>
    <row r="427">
      <c r="E427" s="233"/>
      <c r="F427" s="233"/>
      <c r="G427" s="233"/>
    </row>
    <row r="428">
      <c r="E428" s="233"/>
      <c r="F428" s="233"/>
      <c r="G428" s="233"/>
    </row>
    <row r="429">
      <c r="E429" s="233"/>
      <c r="F429" s="233"/>
      <c r="G429" s="233"/>
    </row>
    <row r="430">
      <c r="E430" s="233"/>
      <c r="F430" s="233"/>
      <c r="G430" s="233"/>
    </row>
    <row r="431">
      <c r="E431" s="233"/>
      <c r="F431" s="233"/>
      <c r="G431" s="233"/>
    </row>
    <row r="432">
      <c r="E432" s="233"/>
      <c r="F432" s="233"/>
      <c r="G432" s="233"/>
    </row>
    <row r="433">
      <c r="E433" s="233"/>
      <c r="F433" s="233"/>
      <c r="G433" s="233"/>
    </row>
    <row r="434">
      <c r="E434" s="233"/>
      <c r="F434" s="233"/>
      <c r="G434" s="233"/>
    </row>
    <row r="435">
      <c r="E435" s="233"/>
      <c r="F435" s="233"/>
      <c r="G435" s="233"/>
    </row>
    <row r="436">
      <c r="E436" s="233"/>
      <c r="F436" s="233"/>
      <c r="G436" s="233"/>
    </row>
    <row r="437">
      <c r="E437" s="233"/>
      <c r="F437" s="233"/>
      <c r="G437" s="233"/>
    </row>
    <row r="438">
      <c r="E438" s="233"/>
      <c r="F438" s="233"/>
      <c r="G438" s="233"/>
    </row>
    <row r="439">
      <c r="E439" s="233"/>
      <c r="F439" s="233"/>
      <c r="G439" s="233"/>
    </row>
    <row r="440">
      <c r="E440" s="233"/>
      <c r="F440" s="233"/>
      <c r="G440" s="233"/>
    </row>
    <row r="441">
      <c r="E441" s="233"/>
      <c r="F441" s="233"/>
      <c r="G441" s="233"/>
    </row>
    <row r="442">
      <c r="E442" s="233"/>
      <c r="F442" s="233"/>
      <c r="G442" s="233"/>
    </row>
    <row r="443">
      <c r="E443" s="233"/>
      <c r="F443" s="233"/>
      <c r="G443" s="233"/>
    </row>
    <row r="444">
      <c r="E444" s="233"/>
      <c r="F444" s="233"/>
      <c r="G444" s="233"/>
    </row>
    <row r="445">
      <c r="E445" s="233"/>
      <c r="F445" s="233"/>
      <c r="G445" s="233"/>
    </row>
    <row r="446">
      <c r="E446" s="233"/>
      <c r="F446" s="233"/>
      <c r="G446" s="233"/>
    </row>
    <row r="447">
      <c r="E447" s="233"/>
      <c r="F447" s="233"/>
      <c r="G447" s="233"/>
    </row>
    <row r="448">
      <c r="E448" s="233"/>
      <c r="F448" s="233"/>
      <c r="G448" s="233"/>
    </row>
    <row r="449">
      <c r="E449" s="233"/>
      <c r="F449" s="233"/>
      <c r="G449" s="233"/>
    </row>
    <row r="450">
      <c r="E450" s="233"/>
      <c r="F450" s="233"/>
      <c r="G450" s="233"/>
    </row>
    <row r="451">
      <c r="E451" s="233"/>
      <c r="F451" s="233"/>
      <c r="G451" s="233"/>
    </row>
    <row r="452">
      <c r="E452" s="233"/>
      <c r="F452" s="233"/>
      <c r="G452" s="233"/>
    </row>
    <row r="453">
      <c r="E453" s="233"/>
      <c r="F453" s="233"/>
      <c r="G453" s="233"/>
    </row>
    <row r="454">
      <c r="E454" s="233"/>
      <c r="F454" s="233"/>
      <c r="G454" s="233"/>
    </row>
    <row r="455">
      <c r="E455" s="233"/>
      <c r="F455" s="233"/>
      <c r="G455" s="233"/>
    </row>
    <row r="456">
      <c r="E456" s="233"/>
      <c r="F456" s="233"/>
      <c r="G456" s="233"/>
    </row>
    <row r="457">
      <c r="E457" s="233"/>
      <c r="F457" s="233"/>
      <c r="G457" s="233"/>
    </row>
    <row r="458">
      <c r="E458" s="233"/>
      <c r="F458" s="233"/>
      <c r="G458" s="233"/>
    </row>
    <row r="459">
      <c r="E459" s="233"/>
      <c r="F459" s="233"/>
      <c r="G459" s="233"/>
    </row>
    <row r="460">
      <c r="E460" s="233"/>
      <c r="F460" s="233"/>
      <c r="G460" s="233"/>
    </row>
    <row r="461">
      <c r="E461" s="233"/>
      <c r="F461" s="233"/>
      <c r="G461" s="233"/>
    </row>
    <row r="462">
      <c r="E462" s="233"/>
      <c r="F462" s="233"/>
      <c r="G462" s="233"/>
    </row>
    <row r="463">
      <c r="E463" s="233"/>
      <c r="F463" s="233"/>
      <c r="G463" s="233"/>
    </row>
    <row r="464">
      <c r="E464" s="233"/>
      <c r="F464" s="233"/>
      <c r="G464" s="233"/>
    </row>
    <row r="465">
      <c r="E465" s="233"/>
      <c r="F465" s="233"/>
      <c r="G465" s="233"/>
    </row>
    <row r="466">
      <c r="E466" s="233"/>
      <c r="F466" s="233"/>
      <c r="G466" s="233"/>
    </row>
    <row r="467">
      <c r="E467" s="233"/>
      <c r="F467" s="233"/>
      <c r="G467" s="233"/>
    </row>
    <row r="468">
      <c r="E468" s="233"/>
      <c r="F468" s="233"/>
      <c r="G468" s="233"/>
    </row>
    <row r="469">
      <c r="E469" s="233"/>
      <c r="F469" s="233"/>
      <c r="G469" s="233"/>
    </row>
    <row r="470">
      <c r="E470" s="233"/>
      <c r="F470" s="233"/>
      <c r="G470" s="233"/>
    </row>
    <row r="471">
      <c r="E471" s="233"/>
      <c r="F471" s="233"/>
      <c r="G471" s="233"/>
    </row>
    <row r="472">
      <c r="E472" s="233"/>
      <c r="F472" s="233"/>
      <c r="G472" s="233"/>
    </row>
    <row r="473">
      <c r="E473" s="233"/>
      <c r="F473" s="233"/>
      <c r="G473" s="233"/>
    </row>
    <row r="474">
      <c r="E474" s="233"/>
      <c r="F474" s="233"/>
      <c r="G474" s="233"/>
    </row>
    <row r="475">
      <c r="E475" s="233"/>
      <c r="F475" s="233"/>
      <c r="G475" s="233"/>
    </row>
    <row r="476">
      <c r="E476" s="233"/>
      <c r="F476" s="233"/>
      <c r="G476" s="233"/>
    </row>
    <row r="477">
      <c r="E477" s="233"/>
      <c r="F477" s="233"/>
      <c r="G477" s="233"/>
    </row>
    <row r="478">
      <c r="E478" s="233"/>
      <c r="F478" s="233"/>
      <c r="G478" s="233"/>
    </row>
    <row r="479">
      <c r="E479" s="233"/>
      <c r="F479" s="233"/>
      <c r="G479" s="233"/>
    </row>
    <row r="480">
      <c r="E480" s="233"/>
      <c r="F480" s="233"/>
      <c r="G480" s="233"/>
    </row>
    <row r="481">
      <c r="E481" s="233"/>
      <c r="F481" s="233"/>
      <c r="G481" s="233"/>
    </row>
    <row r="482">
      <c r="E482" s="233"/>
      <c r="F482" s="233"/>
      <c r="G482" s="233"/>
    </row>
    <row r="483">
      <c r="E483" s="233"/>
      <c r="F483" s="233"/>
      <c r="G483" s="233"/>
    </row>
    <row r="484">
      <c r="E484" s="233"/>
      <c r="F484" s="233"/>
      <c r="G484" s="233"/>
    </row>
    <row r="485">
      <c r="E485" s="233"/>
      <c r="F485" s="233"/>
      <c r="G485" s="233"/>
    </row>
    <row r="486">
      <c r="E486" s="233"/>
      <c r="F486" s="233"/>
      <c r="G486" s="233"/>
    </row>
    <row r="487">
      <c r="E487" s="233"/>
      <c r="F487" s="233"/>
      <c r="G487" s="233"/>
    </row>
    <row r="488">
      <c r="E488" s="233"/>
      <c r="F488" s="233"/>
      <c r="G488" s="233"/>
    </row>
    <row r="489">
      <c r="E489" s="233"/>
      <c r="F489" s="233"/>
      <c r="G489" s="233"/>
    </row>
    <row r="490">
      <c r="E490" s="233"/>
      <c r="F490" s="233"/>
      <c r="G490" s="233"/>
    </row>
    <row r="491">
      <c r="E491" s="233"/>
      <c r="F491" s="233"/>
      <c r="G491" s="233"/>
    </row>
    <row r="492">
      <c r="E492" s="233"/>
      <c r="F492" s="233"/>
      <c r="G492" s="233"/>
    </row>
    <row r="493">
      <c r="E493" s="233"/>
      <c r="F493" s="233"/>
      <c r="G493" s="233"/>
    </row>
    <row r="494">
      <c r="E494" s="233"/>
      <c r="F494" s="233"/>
      <c r="G494" s="233"/>
    </row>
    <row r="495">
      <c r="E495" s="233"/>
      <c r="F495" s="233"/>
      <c r="G495" s="233"/>
    </row>
    <row r="496">
      <c r="E496" s="233"/>
      <c r="F496" s="233"/>
      <c r="G496" s="233"/>
    </row>
    <row r="497">
      <c r="E497" s="233"/>
      <c r="F497" s="233"/>
      <c r="G497" s="233"/>
    </row>
    <row r="498">
      <c r="E498" s="233"/>
      <c r="F498" s="233"/>
      <c r="G498" s="233"/>
    </row>
    <row r="499">
      <c r="E499" s="233"/>
      <c r="F499" s="233"/>
      <c r="G499" s="233"/>
    </row>
    <row r="500">
      <c r="E500" s="233"/>
      <c r="F500" s="233"/>
      <c r="G500" s="233"/>
    </row>
    <row r="501">
      <c r="E501" s="233"/>
      <c r="F501" s="233"/>
      <c r="G501" s="233"/>
    </row>
    <row r="502">
      <c r="E502" s="233"/>
      <c r="F502" s="233"/>
      <c r="G502" s="233"/>
    </row>
    <row r="503">
      <c r="E503" s="233"/>
      <c r="F503" s="233"/>
      <c r="G503" s="233"/>
    </row>
    <row r="504">
      <c r="E504" s="233"/>
      <c r="F504" s="233"/>
      <c r="G504" s="233"/>
    </row>
    <row r="505">
      <c r="E505" s="233"/>
      <c r="F505" s="233"/>
      <c r="G505" s="233"/>
    </row>
    <row r="506">
      <c r="E506" s="233"/>
      <c r="F506" s="233"/>
      <c r="G506" s="233"/>
    </row>
    <row r="507">
      <c r="E507" s="233"/>
      <c r="F507" s="233"/>
      <c r="G507" s="233"/>
    </row>
    <row r="508">
      <c r="E508" s="233"/>
      <c r="F508" s="233"/>
      <c r="G508" s="233"/>
    </row>
    <row r="509">
      <c r="E509" s="233"/>
      <c r="F509" s="233"/>
      <c r="G509" s="233"/>
    </row>
    <row r="510">
      <c r="E510" s="233"/>
      <c r="F510" s="233"/>
      <c r="G510" s="233"/>
    </row>
    <row r="511">
      <c r="E511" s="233"/>
      <c r="F511" s="233"/>
      <c r="G511" s="233"/>
    </row>
    <row r="512">
      <c r="E512" s="233"/>
      <c r="F512" s="233"/>
      <c r="G512" s="233"/>
    </row>
    <row r="513">
      <c r="E513" s="233"/>
      <c r="F513" s="233"/>
      <c r="G513" s="233"/>
    </row>
    <row r="514">
      <c r="E514" s="233"/>
      <c r="F514" s="233"/>
      <c r="G514" s="233"/>
    </row>
    <row r="515">
      <c r="E515" s="233"/>
      <c r="F515" s="233"/>
      <c r="G515" s="233"/>
    </row>
    <row r="516">
      <c r="E516" s="233"/>
      <c r="F516" s="233"/>
      <c r="G516" s="233"/>
    </row>
    <row r="517">
      <c r="E517" s="233"/>
      <c r="F517" s="233"/>
      <c r="G517" s="233"/>
    </row>
    <row r="518">
      <c r="E518" s="233"/>
      <c r="F518" s="233"/>
      <c r="G518" s="233"/>
    </row>
    <row r="519">
      <c r="E519" s="233"/>
      <c r="F519" s="233"/>
      <c r="G519" s="233"/>
    </row>
    <row r="520">
      <c r="E520" s="233"/>
      <c r="F520" s="233"/>
      <c r="G520" s="233"/>
    </row>
    <row r="521">
      <c r="E521" s="233"/>
      <c r="F521" s="233"/>
      <c r="G521" s="233"/>
    </row>
    <row r="522">
      <c r="E522" s="233"/>
      <c r="F522" s="233"/>
      <c r="G522" s="233"/>
    </row>
    <row r="523">
      <c r="E523" s="233"/>
      <c r="F523" s="233"/>
      <c r="G523" s="233"/>
    </row>
    <row r="524">
      <c r="E524" s="233"/>
      <c r="F524" s="233"/>
      <c r="G524" s="233"/>
    </row>
    <row r="525">
      <c r="E525" s="233"/>
      <c r="F525" s="233"/>
      <c r="G525" s="233"/>
    </row>
    <row r="526">
      <c r="E526" s="233"/>
      <c r="F526" s="233"/>
      <c r="G526" s="233"/>
    </row>
    <row r="527">
      <c r="E527" s="233"/>
      <c r="F527" s="233"/>
      <c r="G527" s="233"/>
    </row>
    <row r="528">
      <c r="E528" s="233"/>
      <c r="F528" s="233"/>
      <c r="G528" s="233"/>
    </row>
    <row r="529">
      <c r="E529" s="233"/>
      <c r="F529" s="233"/>
      <c r="G529" s="233"/>
    </row>
    <row r="530">
      <c r="E530" s="233"/>
      <c r="F530" s="233"/>
      <c r="G530" s="233"/>
    </row>
    <row r="531">
      <c r="E531" s="233"/>
      <c r="F531" s="233"/>
      <c r="G531" s="233"/>
    </row>
    <row r="532">
      <c r="E532" s="233"/>
      <c r="F532" s="233"/>
      <c r="G532" s="233"/>
    </row>
    <row r="533">
      <c r="E533" s="233"/>
      <c r="F533" s="233"/>
      <c r="G533" s="233"/>
    </row>
    <row r="534">
      <c r="E534" s="233"/>
      <c r="F534" s="233"/>
      <c r="G534" s="233"/>
    </row>
    <row r="535">
      <c r="E535" s="233"/>
      <c r="F535" s="233"/>
      <c r="G535" s="233"/>
    </row>
    <row r="536">
      <c r="E536" s="233"/>
      <c r="F536" s="233"/>
      <c r="G536" s="233"/>
    </row>
    <row r="537">
      <c r="E537" s="233"/>
      <c r="F537" s="233"/>
      <c r="G537" s="233"/>
    </row>
    <row r="538">
      <c r="E538" s="233"/>
      <c r="F538" s="233"/>
      <c r="G538" s="233"/>
    </row>
    <row r="539">
      <c r="E539" s="233"/>
      <c r="F539" s="233"/>
      <c r="G539" s="233"/>
    </row>
    <row r="540">
      <c r="E540" s="233"/>
      <c r="F540" s="233"/>
      <c r="G540" s="233"/>
    </row>
    <row r="541">
      <c r="E541" s="233"/>
      <c r="F541" s="233"/>
      <c r="G541" s="233"/>
    </row>
    <row r="542">
      <c r="E542" s="233"/>
      <c r="F542" s="233"/>
      <c r="G542" s="233"/>
    </row>
    <row r="543">
      <c r="E543" s="233"/>
      <c r="F543" s="233"/>
      <c r="G543" s="233"/>
    </row>
    <row r="544">
      <c r="E544" s="233"/>
      <c r="F544" s="233"/>
      <c r="G544" s="233"/>
    </row>
    <row r="545">
      <c r="E545" s="233"/>
      <c r="F545" s="233"/>
      <c r="G545" s="233"/>
    </row>
    <row r="546">
      <c r="E546" s="233"/>
      <c r="F546" s="233"/>
      <c r="G546" s="233"/>
    </row>
    <row r="547">
      <c r="E547" s="233"/>
      <c r="F547" s="233"/>
      <c r="G547" s="233"/>
    </row>
    <row r="548">
      <c r="E548" s="233"/>
      <c r="F548" s="233"/>
      <c r="G548" s="233"/>
    </row>
    <row r="549">
      <c r="E549" s="233"/>
      <c r="F549" s="233"/>
      <c r="G549" s="233"/>
    </row>
    <row r="550">
      <c r="E550" s="233"/>
      <c r="F550" s="233"/>
      <c r="G550" s="233"/>
    </row>
    <row r="551">
      <c r="E551" s="233"/>
      <c r="F551" s="233"/>
      <c r="G551" s="233"/>
    </row>
    <row r="552">
      <c r="E552" s="233"/>
      <c r="F552" s="233"/>
      <c r="G552" s="233"/>
    </row>
    <row r="553">
      <c r="E553" s="233"/>
      <c r="F553" s="233"/>
      <c r="G553" s="233"/>
    </row>
    <row r="554">
      <c r="E554" s="233"/>
      <c r="F554" s="233"/>
      <c r="G554" s="233"/>
    </row>
    <row r="555">
      <c r="E555" s="233"/>
      <c r="F555" s="233"/>
      <c r="G555" s="233"/>
    </row>
    <row r="556">
      <c r="E556" s="233"/>
      <c r="F556" s="233"/>
      <c r="G556" s="233"/>
    </row>
    <row r="557">
      <c r="E557" s="233"/>
      <c r="F557" s="233"/>
      <c r="G557" s="233"/>
    </row>
    <row r="558">
      <c r="E558" s="233"/>
      <c r="F558" s="233"/>
      <c r="G558" s="233"/>
    </row>
    <row r="559">
      <c r="E559" s="233"/>
      <c r="F559" s="233"/>
      <c r="G559" s="233"/>
    </row>
    <row r="560">
      <c r="E560" s="233"/>
      <c r="F560" s="233"/>
      <c r="G560" s="233"/>
    </row>
    <row r="561">
      <c r="E561" s="233"/>
      <c r="F561" s="233"/>
      <c r="G561" s="233"/>
    </row>
    <row r="562">
      <c r="E562" s="233"/>
      <c r="F562" s="233"/>
      <c r="G562" s="233"/>
    </row>
    <row r="563">
      <c r="E563" s="233"/>
      <c r="F563" s="233"/>
      <c r="G563" s="233"/>
    </row>
    <row r="564">
      <c r="E564" s="233"/>
      <c r="F564" s="233"/>
      <c r="G564" s="233"/>
    </row>
    <row r="565">
      <c r="E565" s="233"/>
      <c r="F565" s="233"/>
      <c r="G565" s="233"/>
    </row>
    <row r="566">
      <c r="E566" s="233"/>
      <c r="F566" s="233"/>
      <c r="G566" s="233"/>
    </row>
    <row r="567">
      <c r="E567" s="233"/>
      <c r="F567" s="233"/>
      <c r="G567" s="233"/>
    </row>
    <row r="568">
      <c r="E568" s="233"/>
      <c r="F568" s="233"/>
      <c r="G568" s="233"/>
    </row>
    <row r="569">
      <c r="E569" s="233"/>
      <c r="F569" s="233"/>
      <c r="G569" s="233"/>
    </row>
    <row r="570">
      <c r="E570" s="233"/>
      <c r="F570" s="233"/>
      <c r="G570" s="233"/>
    </row>
    <row r="571">
      <c r="E571" s="233"/>
      <c r="F571" s="233"/>
      <c r="G571" s="233"/>
    </row>
    <row r="572">
      <c r="E572" s="233"/>
      <c r="F572" s="233"/>
      <c r="G572" s="233"/>
    </row>
    <row r="573">
      <c r="E573" s="233"/>
      <c r="F573" s="233"/>
      <c r="G573" s="233"/>
    </row>
    <row r="574">
      <c r="E574" s="233"/>
      <c r="F574" s="233"/>
      <c r="G574" s="233"/>
    </row>
    <row r="575">
      <c r="E575" s="233"/>
      <c r="F575" s="233"/>
      <c r="G575" s="233"/>
    </row>
    <row r="576">
      <c r="E576" s="233"/>
      <c r="F576" s="233"/>
      <c r="G576" s="233"/>
    </row>
    <row r="577">
      <c r="E577" s="233"/>
      <c r="F577" s="233"/>
      <c r="G577" s="233"/>
    </row>
    <row r="578">
      <c r="E578" s="233"/>
      <c r="F578" s="233"/>
      <c r="G578" s="233"/>
    </row>
    <row r="579">
      <c r="E579" s="233"/>
      <c r="F579" s="233"/>
      <c r="G579" s="233"/>
    </row>
    <row r="580">
      <c r="E580" s="233"/>
      <c r="F580" s="233"/>
      <c r="G580" s="233"/>
    </row>
    <row r="581">
      <c r="E581" s="233"/>
      <c r="F581" s="233"/>
      <c r="G581" s="233"/>
    </row>
    <row r="582">
      <c r="E582" s="233"/>
      <c r="F582" s="233"/>
      <c r="G582" s="233"/>
    </row>
    <row r="583">
      <c r="E583" s="233"/>
      <c r="F583" s="233"/>
      <c r="G583" s="233"/>
    </row>
    <row r="584">
      <c r="E584" s="233"/>
      <c r="F584" s="233"/>
      <c r="G584" s="233"/>
    </row>
    <row r="585">
      <c r="E585" s="233"/>
      <c r="F585" s="233"/>
      <c r="G585" s="233"/>
    </row>
    <row r="586">
      <c r="E586" s="233"/>
      <c r="F586" s="233"/>
      <c r="G586" s="233"/>
    </row>
    <row r="587">
      <c r="E587" s="233"/>
      <c r="F587" s="233"/>
      <c r="G587" s="233"/>
    </row>
    <row r="588">
      <c r="E588" s="233"/>
      <c r="F588" s="233"/>
      <c r="G588" s="233"/>
    </row>
    <row r="589">
      <c r="E589" s="233"/>
      <c r="F589" s="233"/>
      <c r="G589" s="233"/>
    </row>
    <row r="590">
      <c r="E590" s="233"/>
      <c r="F590" s="233"/>
      <c r="G590" s="233"/>
    </row>
    <row r="591">
      <c r="E591" s="233"/>
      <c r="F591" s="233"/>
      <c r="G591" s="233"/>
    </row>
    <row r="592">
      <c r="E592" s="233"/>
      <c r="F592" s="233"/>
      <c r="G592" s="233"/>
    </row>
    <row r="593">
      <c r="E593" s="233"/>
      <c r="F593" s="233"/>
      <c r="G593" s="233"/>
    </row>
    <row r="594">
      <c r="E594" s="233"/>
      <c r="F594" s="233"/>
      <c r="G594" s="233"/>
    </row>
    <row r="595">
      <c r="E595" s="233"/>
      <c r="F595" s="233"/>
      <c r="G595" s="233"/>
    </row>
    <row r="596">
      <c r="E596" s="233"/>
      <c r="F596" s="233"/>
      <c r="G596" s="233"/>
    </row>
    <row r="597">
      <c r="E597" s="233"/>
      <c r="F597" s="233"/>
      <c r="G597" s="233"/>
    </row>
    <row r="598">
      <c r="E598" s="233"/>
      <c r="F598" s="233"/>
      <c r="G598" s="233"/>
    </row>
    <row r="599">
      <c r="E599" s="233"/>
      <c r="F599" s="233"/>
      <c r="G599" s="233"/>
    </row>
    <row r="600">
      <c r="E600" s="233"/>
      <c r="F600" s="233"/>
      <c r="G600" s="233"/>
    </row>
    <row r="601">
      <c r="E601" s="233"/>
      <c r="F601" s="233"/>
      <c r="G601" s="233"/>
    </row>
    <row r="602">
      <c r="E602" s="233"/>
      <c r="F602" s="233"/>
      <c r="G602" s="233"/>
    </row>
    <row r="603">
      <c r="E603" s="233"/>
      <c r="F603" s="233"/>
      <c r="G603" s="233"/>
    </row>
    <row r="604">
      <c r="E604" s="233"/>
      <c r="F604" s="233"/>
      <c r="G604" s="233"/>
    </row>
    <row r="605">
      <c r="E605" s="233"/>
      <c r="F605" s="233"/>
      <c r="G605" s="233"/>
    </row>
    <row r="606">
      <c r="E606" s="233"/>
      <c r="F606" s="233"/>
      <c r="G606" s="233"/>
    </row>
    <row r="607">
      <c r="E607" s="233"/>
      <c r="F607" s="233"/>
      <c r="G607" s="233"/>
    </row>
    <row r="608">
      <c r="E608" s="233"/>
      <c r="F608" s="233"/>
      <c r="G608" s="233"/>
    </row>
    <row r="609">
      <c r="E609" s="233"/>
      <c r="F609" s="233"/>
      <c r="G609" s="233"/>
    </row>
    <row r="610">
      <c r="E610" s="233"/>
      <c r="F610" s="233"/>
      <c r="G610" s="233"/>
    </row>
    <row r="611">
      <c r="E611" s="233"/>
      <c r="F611" s="233"/>
      <c r="G611" s="233"/>
    </row>
    <row r="612">
      <c r="E612" s="233"/>
      <c r="F612" s="233"/>
      <c r="G612" s="233"/>
    </row>
    <row r="613">
      <c r="E613" s="233"/>
      <c r="F613" s="233"/>
      <c r="G613" s="233"/>
    </row>
    <row r="614">
      <c r="E614" s="233"/>
      <c r="F614" s="233"/>
      <c r="G614" s="233"/>
    </row>
    <row r="615">
      <c r="E615" s="233"/>
      <c r="F615" s="233"/>
      <c r="G615" s="233"/>
    </row>
    <row r="616">
      <c r="E616" s="233"/>
      <c r="F616" s="233"/>
      <c r="G616" s="233"/>
    </row>
    <row r="617">
      <c r="E617" s="233"/>
      <c r="F617" s="233"/>
      <c r="G617" s="233"/>
    </row>
    <row r="618">
      <c r="E618" s="233"/>
      <c r="F618" s="233"/>
      <c r="G618" s="233"/>
    </row>
    <row r="619">
      <c r="E619" s="233"/>
      <c r="F619" s="233"/>
      <c r="G619" s="233"/>
    </row>
    <row r="620">
      <c r="E620" s="233"/>
      <c r="F620" s="233"/>
      <c r="G620" s="233"/>
    </row>
    <row r="621">
      <c r="E621" s="233"/>
      <c r="F621" s="233"/>
      <c r="G621" s="233"/>
    </row>
    <row r="622">
      <c r="E622" s="233"/>
      <c r="F622" s="233"/>
      <c r="G622" s="233"/>
    </row>
    <row r="623">
      <c r="E623" s="233"/>
      <c r="F623" s="233"/>
      <c r="G623" s="233"/>
    </row>
    <row r="624">
      <c r="E624" s="233"/>
      <c r="F624" s="233"/>
      <c r="G624" s="233"/>
    </row>
    <row r="625">
      <c r="E625" s="233"/>
      <c r="F625" s="233"/>
      <c r="G625" s="233"/>
    </row>
    <row r="626">
      <c r="E626" s="233"/>
      <c r="F626" s="233"/>
      <c r="G626" s="233"/>
    </row>
    <row r="627">
      <c r="E627" s="233"/>
      <c r="F627" s="233"/>
      <c r="G627" s="233"/>
    </row>
    <row r="628">
      <c r="E628" s="233"/>
      <c r="F628" s="233"/>
      <c r="G628" s="233"/>
    </row>
    <row r="629">
      <c r="E629" s="233"/>
      <c r="F629" s="233"/>
      <c r="G629" s="233"/>
    </row>
    <row r="630">
      <c r="E630" s="233"/>
      <c r="F630" s="233"/>
      <c r="G630" s="233"/>
    </row>
    <row r="631">
      <c r="E631" s="233"/>
      <c r="F631" s="233"/>
      <c r="G631" s="233"/>
    </row>
    <row r="632">
      <c r="E632" s="233"/>
      <c r="F632" s="233"/>
      <c r="G632" s="233"/>
    </row>
    <row r="633">
      <c r="E633" s="233"/>
      <c r="F633" s="233"/>
      <c r="G633" s="233"/>
    </row>
    <row r="634">
      <c r="E634" s="233"/>
      <c r="F634" s="233"/>
      <c r="G634" s="233"/>
    </row>
    <row r="635">
      <c r="E635" s="233"/>
      <c r="F635" s="233"/>
      <c r="G635" s="233"/>
    </row>
    <row r="636">
      <c r="E636" s="233"/>
      <c r="F636" s="233"/>
      <c r="G636" s="233"/>
    </row>
    <row r="637">
      <c r="E637" s="233"/>
      <c r="F637" s="233"/>
      <c r="G637" s="233"/>
    </row>
    <row r="638">
      <c r="E638" s="233"/>
      <c r="F638" s="233"/>
      <c r="G638" s="233"/>
    </row>
    <row r="639">
      <c r="E639" s="233"/>
      <c r="F639" s="233"/>
      <c r="G639" s="233"/>
    </row>
    <row r="640">
      <c r="E640" s="233"/>
      <c r="F640" s="233"/>
      <c r="G640" s="233"/>
    </row>
    <row r="641">
      <c r="E641" s="233"/>
      <c r="F641" s="233"/>
      <c r="G641" s="233"/>
    </row>
    <row r="642">
      <c r="E642" s="233"/>
      <c r="F642" s="233"/>
      <c r="G642" s="233"/>
    </row>
    <row r="643">
      <c r="E643" s="233"/>
      <c r="F643" s="233"/>
      <c r="G643" s="233"/>
    </row>
    <row r="644">
      <c r="E644" s="233"/>
      <c r="F644" s="233"/>
      <c r="G644" s="233"/>
    </row>
    <row r="645">
      <c r="E645" s="233"/>
      <c r="F645" s="233"/>
      <c r="G645" s="233"/>
    </row>
    <row r="646">
      <c r="E646" s="233"/>
      <c r="F646" s="233"/>
      <c r="G646" s="233"/>
    </row>
    <row r="647">
      <c r="E647" s="233"/>
      <c r="F647" s="233"/>
      <c r="G647" s="233"/>
    </row>
    <row r="648">
      <c r="E648" s="233"/>
      <c r="F648" s="233"/>
      <c r="G648" s="233"/>
    </row>
    <row r="649">
      <c r="E649" s="233"/>
      <c r="F649" s="233"/>
      <c r="G649" s="233"/>
    </row>
    <row r="650">
      <c r="E650" s="233"/>
      <c r="F650" s="233"/>
      <c r="G650" s="233"/>
    </row>
    <row r="651">
      <c r="E651" s="233"/>
      <c r="F651" s="233"/>
      <c r="G651" s="233"/>
    </row>
    <row r="652">
      <c r="E652" s="233"/>
      <c r="F652" s="233"/>
      <c r="G652" s="233"/>
    </row>
    <row r="653">
      <c r="E653" s="233"/>
      <c r="F653" s="233"/>
      <c r="G653" s="233"/>
    </row>
    <row r="654">
      <c r="E654" s="233"/>
      <c r="F654" s="233"/>
      <c r="G654" s="233"/>
    </row>
    <row r="655">
      <c r="E655" s="233"/>
      <c r="F655" s="233"/>
      <c r="G655" s="233"/>
    </row>
    <row r="656">
      <c r="E656" s="233"/>
      <c r="F656" s="233"/>
      <c r="G656" s="233"/>
    </row>
    <row r="657">
      <c r="E657" s="233"/>
      <c r="F657" s="233"/>
      <c r="G657" s="233"/>
    </row>
    <row r="658">
      <c r="E658" s="233"/>
      <c r="F658" s="233"/>
      <c r="G658" s="233"/>
    </row>
    <row r="659">
      <c r="E659" s="233"/>
      <c r="F659" s="233"/>
      <c r="G659" s="233"/>
    </row>
    <row r="660">
      <c r="E660" s="233"/>
      <c r="F660" s="233"/>
      <c r="G660" s="233"/>
    </row>
    <row r="661">
      <c r="E661" s="233"/>
      <c r="F661" s="233"/>
      <c r="G661" s="233"/>
    </row>
    <row r="662">
      <c r="E662" s="233"/>
      <c r="F662" s="233"/>
      <c r="G662" s="233"/>
    </row>
    <row r="663">
      <c r="E663" s="233"/>
      <c r="F663" s="233"/>
      <c r="G663" s="233"/>
    </row>
    <row r="664">
      <c r="E664" s="233"/>
      <c r="F664" s="233"/>
      <c r="G664" s="233"/>
    </row>
    <row r="665">
      <c r="E665" s="233"/>
      <c r="F665" s="233"/>
      <c r="G665" s="233"/>
    </row>
    <row r="666">
      <c r="E666" s="233"/>
      <c r="F666" s="233"/>
      <c r="G666" s="233"/>
    </row>
    <row r="667">
      <c r="E667" s="233"/>
      <c r="F667" s="233"/>
      <c r="G667" s="233"/>
    </row>
    <row r="668">
      <c r="E668" s="233"/>
      <c r="F668" s="233"/>
      <c r="G668" s="233"/>
    </row>
    <row r="669">
      <c r="E669" s="233"/>
      <c r="F669" s="233"/>
      <c r="G669" s="233"/>
    </row>
    <row r="670">
      <c r="E670" s="233"/>
      <c r="F670" s="233"/>
      <c r="G670" s="233"/>
    </row>
    <row r="671">
      <c r="E671" s="233"/>
      <c r="F671" s="233"/>
      <c r="G671" s="233"/>
    </row>
    <row r="672">
      <c r="E672" s="233"/>
      <c r="F672" s="233"/>
      <c r="G672" s="233"/>
    </row>
    <row r="673">
      <c r="E673" s="233"/>
      <c r="F673" s="233"/>
      <c r="G673" s="233"/>
    </row>
    <row r="674">
      <c r="E674" s="233"/>
      <c r="F674" s="233"/>
      <c r="G674" s="233"/>
    </row>
    <row r="675">
      <c r="E675" s="233"/>
      <c r="F675" s="233"/>
      <c r="G675" s="233"/>
    </row>
    <row r="676">
      <c r="E676" s="233"/>
      <c r="F676" s="233"/>
      <c r="G676" s="233"/>
    </row>
    <row r="677">
      <c r="E677" s="233"/>
      <c r="F677" s="233"/>
      <c r="G677" s="233"/>
    </row>
    <row r="678">
      <c r="E678" s="233"/>
      <c r="F678" s="233"/>
      <c r="G678" s="233"/>
    </row>
    <row r="679">
      <c r="E679" s="233"/>
      <c r="F679" s="233"/>
      <c r="G679" s="233"/>
    </row>
    <row r="680">
      <c r="E680" s="233"/>
      <c r="F680" s="233"/>
      <c r="G680" s="233"/>
    </row>
    <row r="681">
      <c r="E681" s="233"/>
      <c r="F681" s="233"/>
      <c r="G681" s="233"/>
    </row>
    <row r="682">
      <c r="E682" s="233"/>
      <c r="F682" s="233"/>
      <c r="G682" s="233"/>
    </row>
    <row r="683">
      <c r="E683" s="233"/>
      <c r="F683" s="233"/>
      <c r="G683" s="233"/>
    </row>
    <row r="684">
      <c r="E684" s="233"/>
      <c r="F684" s="233"/>
      <c r="G684" s="233"/>
    </row>
    <row r="685">
      <c r="E685" s="233"/>
      <c r="F685" s="233"/>
      <c r="G685" s="233"/>
    </row>
    <row r="686">
      <c r="E686" s="233"/>
      <c r="F686" s="233"/>
      <c r="G686" s="233"/>
    </row>
    <row r="687">
      <c r="E687" s="233"/>
      <c r="F687" s="233"/>
      <c r="G687" s="233"/>
    </row>
    <row r="688">
      <c r="E688" s="233"/>
      <c r="F688" s="233"/>
      <c r="G688" s="233"/>
    </row>
    <row r="689">
      <c r="E689" s="233"/>
      <c r="F689" s="233"/>
      <c r="G689" s="233"/>
    </row>
    <row r="690">
      <c r="E690" s="233"/>
      <c r="F690" s="233"/>
      <c r="G690" s="233"/>
    </row>
    <row r="691">
      <c r="E691" s="233"/>
      <c r="F691" s="233"/>
      <c r="G691" s="233"/>
    </row>
    <row r="692">
      <c r="E692" s="233"/>
      <c r="F692" s="233"/>
      <c r="G692" s="233"/>
    </row>
    <row r="693">
      <c r="E693" s="233"/>
      <c r="F693" s="233"/>
      <c r="G693" s="233"/>
    </row>
    <row r="694">
      <c r="E694" s="233"/>
      <c r="F694" s="233"/>
      <c r="G694" s="233"/>
    </row>
    <row r="695">
      <c r="E695" s="233"/>
      <c r="F695" s="233"/>
      <c r="G695" s="233"/>
    </row>
    <row r="696">
      <c r="E696" s="233"/>
      <c r="F696" s="233"/>
      <c r="G696" s="233"/>
    </row>
    <row r="697">
      <c r="E697" s="233"/>
      <c r="F697" s="233"/>
      <c r="G697" s="233"/>
    </row>
    <row r="698">
      <c r="E698" s="233"/>
      <c r="F698" s="233"/>
      <c r="G698" s="233"/>
    </row>
    <row r="699">
      <c r="E699" s="233"/>
      <c r="F699" s="233"/>
      <c r="G699" s="233"/>
    </row>
    <row r="700">
      <c r="E700" s="233"/>
      <c r="F700" s="233"/>
      <c r="G700" s="233"/>
    </row>
    <row r="701">
      <c r="E701" s="233"/>
      <c r="F701" s="233"/>
      <c r="G701" s="233"/>
    </row>
    <row r="702">
      <c r="E702" s="233"/>
      <c r="F702" s="233"/>
      <c r="G702" s="233"/>
    </row>
    <row r="703">
      <c r="E703" s="233"/>
      <c r="F703" s="233"/>
      <c r="G703" s="233"/>
    </row>
    <row r="704">
      <c r="E704" s="233"/>
      <c r="F704" s="233"/>
      <c r="G704" s="233"/>
    </row>
    <row r="705">
      <c r="E705" s="233"/>
      <c r="F705" s="233"/>
      <c r="G705" s="233"/>
    </row>
    <row r="706">
      <c r="E706" s="233"/>
      <c r="F706" s="233"/>
      <c r="G706" s="233"/>
    </row>
    <row r="707">
      <c r="E707" s="233"/>
      <c r="F707" s="233"/>
      <c r="G707" s="233"/>
    </row>
    <row r="708">
      <c r="E708" s="233"/>
      <c r="F708" s="233"/>
      <c r="G708" s="233"/>
    </row>
    <row r="709">
      <c r="E709" s="233"/>
      <c r="F709" s="233"/>
      <c r="G709" s="233"/>
    </row>
    <row r="710">
      <c r="E710" s="233"/>
      <c r="F710" s="233"/>
      <c r="G710" s="233"/>
    </row>
    <row r="711">
      <c r="E711" s="233"/>
      <c r="F711" s="233"/>
      <c r="G711" s="233"/>
    </row>
    <row r="712">
      <c r="E712" s="233"/>
      <c r="F712" s="233"/>
      <c r="G712" s="233"/>
    </row>
    <row r="713">
      <c r="E713" s="233"/>
      <c r="F713" s="233"/>
      <c r="G713" s="233"/>
    </row>
    <row r="714">
      <c r="E714" s="233"/>
      <c r="F714" s="233"/>
      <c r="G714" s="233"/>
    </row>
    <row r="715">
      <c r="E715" s="233"/>
      <c r="F715" s="233"/>
      <c r="G715" s="233"/>
    </row>
    <row r="716">
      <c r="E716" s="233"/>
      <c r="F716" s="233"/>
      <c r="G716" s="233"/>
    </row>
    <row r="717">
      <c r="E717" s="233"/>
      <c r="F717" s="233"/>
      <c r="G717" s="233"/>
    </row>
    <row r="718">
      <c r="E718" s="233"/>
      <c r="F718" s="233"/>
      <c r="G718" s="233"/>
    </row>
    <row r="719">
      <c r="E719" s="233"/>
      <c r="F719" s="233"/>
      <c r="G719" s="233"/>
    </row>
    <row r="720">
      <c r="E720" s="233"/>
      <c r="F720" s="233"/>
      <c r="G720" s="233"/>
    </row>
    <row r="721">
      <c r="E721" s="233"/>
      <c r="F721" s="233"/>
      <c r="G721" s="233"/>
    </row>
    <row r="722">
      <c r="E722" s="233"/>
      <c r="F722" s="233"/>
      <c r="G722" s="233"/>
    </row>
    <row r="723">
      <c r="E723" s="233"/>
      <c r="F723" s="233"/>
      <c r="G723" s="233"/>
    </row>
    <row r="724">
      <c r="E724" s="233"/>
      <c r="F724" s="233"/>
      <c r="G724" s="233"/>
    </row>
    <row r="725">
      <c r="E725" s="233"/>
      <c r="F725" s="233"/>
      <c r="G725" s="233"/>
    </row>
    <row r="726">
      <c r="E726" s="233"/>
      <c r="F726" s="233"/>
      <c r="G726" s="233"/>
    </row>
    <row r="727">
      <c r="E727" s="233"/>
      <c r="F727" s="233"/>
      <c r="G727" s="233"/>
    </row>
    <row r="728">
      <c r="E728" s="233"/>
      <c r="F728" s="233"/>
      <c r="G728" s="233"/>
    </row>
    <row r="729">
      <c r="E729" s="233"/>
      <c r="F729" s="233"/>
      <c r="G729" s="233"/>
    </row>
    <row r="730">
      <c r="E730" s="233"/>
      <c r="F730" s="233"/>
      <c r="G730" s="233"/>
    </row>
    <row r="731">
      <c r="E731" s="233"/>
      <c r="F731" s="233"/>
      <c r="G731" s="233"/>
    </row>
    <row r="732">
      <c r="E732" s="233"/>
      <c r="F732" s="233"/>
      <c r="G732" s="233"/>
    </row>
    <row r="733">
      <c r="E733" s="233"/>
      <c r="F733" s="233"/>
      <c r="G733" s="233"/>
    </row>
    <row r="734">
      <c r="E734" s="233"/>
      <c r="F734" s="233"/>
      <c r="G734" s="233"/>
    </row>
    <row r="735">
      <c r="E735" s="233"/>
      <c r="F735" s="233"/>
      <c r="G735" s="233"/>
    </row>
    <row r="736">
      <c r="E736" s="233"/>
      <c r="F736" s="233"/>
      <c r="G736" s="233"/>
    </row>
    <row r="737">
      <c r="E737" s="233"/>
      <c r="F737" s="233"/>
      <c r="G737" s="233"/>
    </row>
    <row r="738">
      <c r="E738" s="233"/>
      <c r="F738" s="233"/>
      <c r="G738" s="233"/>
    </row>
    <row r="739">
      <c r="E739" s="233"/>
      <c r="F739" s="233"/>
      <c r="G739" s="233"/>
    </row>
    <row r="740">
      <c r="E740" s="233"/>
      <c r="F740" s="233"/>
      <c r="G740" s="233"/>
    </row>
    <row r="741">
      <c r="E741" s="233"/>
      <c r="F741" s="233"/>
      <c r="G741" s="233"/>
    </row>
    <row r="742">
      <c r="E742" s="233"/>
      <c r="F742" s="233"/>
      <c r="G742" s="233"/>
    </row>
    <row r="743">
      <c r="E743" s="233"/>
      <c r="F743" s="233"/>
      <c r="G743" s="233"/>
    </row>
    <row r="744">
      <c r="E744" s="233"/>
      <c r="F744" s="233"/>
      <c r="G744" s="233"/>
    </row>
    <row r="745">
      <c r="E745" s="233"/>
      <c r="F745" s="233"/>
      <c r="G745" s="233"/>
    </row>
    <row r="746">
      <c r="E746" s="233"/>
      <c r="F746" s="233"/>
      <c r="G746" s="233"/>
    </row>
    <row r="747">
      <c r="E747" s="233"/>
      <c r="F747" s="233"/>
      <c r="G747" s="233"/>
    </row>
    <row r="748">
      <c r="E748" s="233"/>
      <c r="F748" s="233"/>
      <c r="G748" s="233"/>
    </row>
    <row r="749">
      <c r="E749" s="233"/>
      <c r="F749" s="233"/>
      <c r="G749" s="233"/>
    </row>
    <row r="750">
      <c r="E750" s="233"/>
      <c r="F750" s="233"/>
      <c r="G750" s="233"/>
    </row>
    <row r="751">
      <c r="E751" s="233"/>
      <c r="F751" s="233"/>
      <c r="G751" s="233"/>
    </row>
    <row r="752">
      <c r="E752" s="233"/>
      <c r="F752" s="233"/>
      <c r="G752" s="233"/>
    </row>
    <row r="753">
      <c r="E753" s="233"/>
      <c r="F753" s="233"/>
      <c r="G753" s="233"/>
    </row>
    <row r="754">
      <c r="E754" s="233"/>
      <c r="F754" s="233"/>
      <c r="G754" s="233"/>
    </row>
    <row r="755">
      <c r="E755" s="233"/>
      <c r="F755" s="233"/>
      <c r="G755" s="233"/>
    </row>
    <row r="756">
      <c r="E756" s="233"/>
      <c r="F756" s="233"/>
      <c r="G756" s="233"/>
    </row>
    <row r="757">
      <c r="E757" s="233"/>
      <c r="F757" s="233"/>
      <c r="G757" s="233"/>
    </row>
    <row r="758">
      <c r="E758" s="233"/>
      <c r="F758" s="233"/>
      <c r="G758" s="233"/>
    </row>
    <row r="759">
      <c r="E759" s="233"/>
      <c r="F759" s="233"/>
      <c r="G759" s="233"/>
    </row>
    <row r="760">
      <c r="E760" s="233"/>
      <c r="F760" s="233"/>
      <c r="G760" s="233"/>
    </row>
    <row r="761">
      <c r="E761" s="233"/>
      <c r="F761" s="233"/>
      <c r="G761" s="233"/>
    </row>
    <row r="762">
      <c r="E762" s="233"/>
      <c r="F762" s="233"/>
      <c r="G762" s="233"/>
    </row>
    <row r="763">
      <c r="E763" s="233"/>
      <c r="F763" s="233"/>
      <c r="G763" s="233"/>
    </row>
    <row r="764">
      <c r="E764" s="233"/>
      <c r="F764" s="233"/>
      <c r="G764" s="233"/>
    </row>
    <row r="765">
      <c r="E765" s="233"/>
      <c r="F765" s="233"/>
      <c r="G765" s="233"/>
    </row>
    <row r="766">
      <c r="E766" s="233"/>
      <c r="F766" s="233"/>
      <c r="G766" s="233"/>
    </row>
    <row r="767">
      <c r="E767" s="233"/>
      <c r="F767" s="233"/>
      <c r="G767" s="233"/>
    </row>
    <row r="768">
      <c r="E768" s="233"/>
      <c r="F768" s="233"/>
      <c r="G768" s="233"/>
    </row>
    <row r="769">
      <c r="E769" s="233"/>
      <c r="F769" s="233"/>
      <c r="G769" s="233"/>
    </row>
    <row r="770">
      <c r="E770" s="233"/>
      <c r="F770" s="233"/>
      <c r="G770" s="233"/>
    </row>
    <row r="771">
      <c r="E771" s="233"/>
      <c r="F771" s="233"/>
      <c r="G771" s="233"/>
    </row>
    <row r="772">
      <c r="E772" s="233"/>
      <c r="F772" s="233"/>
      <c r="G772" s="233"/>
    </row>
    <row r="773">
      <c r="E773" s="233"/>
      <c r="F773" s="233"/>
      <c r="G773" s="233"/>
    </row>
    <row r="774">
      <c r="E774" s="233"/>
      <c r="F774" s="233"/>
      <c r="G774" s="233"/>
    </row>
    <row r="775">
      <c r="E775" s="233"/>
      <c r="F775" s="233"/>
      <c r="G775" s="233"/>
    </row>
    <row r="776">
      <c r="E776" s="233"/>
      <c r="F776" s="233"/>
      <c r="G776" s="233"/>
    </row>
    <row r="777">
      <c r="E777" s="233"/>
      <c r="F777" s="233"/>
      <c r="G777" s="233"/>
    </row>
    <row r="778">
      <c r="E778" s="233"/>
      <c r="F778" s="233"/>
      <c r="G778" s="233"/>
    </row>
    <row r="779">
      <c r="E779" s="233"/>
      <c r="F779" s="233"/>
      <c r="G779" s="233"/>
    </row>
    <row r="780">
      <c r="E780" s="233"/>
      <c r="F780" s="233"/>
      <c r="G780" s="233"/>
    </row>
    <row r="781">
      <c r="E781" s="233"/>
      <c r="F781" s="233"/>
      <c r="G781" s="233"/>
    </row>
    <row r="782">
      <c r="E782" s="233"/>
      <c r="F782" s="233"/>
      <c r="G782" s="233"/>
    </row>
    <row r="783">
      <c r="E783" s="233"/>
      <c r="F783" s="233"/>
      <c r="G783" s="233"/>
    </row>
    <row r="784">
      <c r="E784" s="233"/>
      <c r="F784" s="233"/>
      <c r="G784" s="233"/>
    </row>
    <row r="785">
      <c r="E785" s="233"/>
      <c r="F785" s="233"/>
      <c r="G785" s="233"/>
    </row>
    <row r="786">
      <c r="E786" s="233"/>
      <c r="F786" s="233"/>
      <c r="G786" s="233"/>
    </row>
    <row r="787">
      <c r="E787" s="233"/>
      <c r="F787" s="233"/>
      <c r="G787" s="233"/>
    </row>
    <row r="788">
      <c r="E788" s="233"/>
      <c r="F788" s="233"/>
      <c r="G788" s="233"/>
    </row>
    <row r="789">
      <c r="E789" s="233"/>
      <c r="F789" s="233"/>
      <c r="G789" s="233"/>
    </row>
    <row r="790">
      <c r="E790" s="233"/>
      <c r="F790" s="233"/>
      <c r="G790" s="233"/>
    </row>
    <row r="791">
      <c r="E791" s="233"/>
      <c r="F791" s="233"/>
      <c r="G791" s="233"/>
    </row>
    <row r="792">
      <c r="E792" s="233"/>
      <c r="F792" s="233"/>
      <c r="G792" s="233"/>
    </row>
    <row r="793">
      <c r="E793" s="233"/>
      <c r="F793" s="233"/>
      <c r="G793" s="233"/>
    </row>
    <row r="794">
      <c r="E794" s="233"/>
      <c r="F794" s="233"/>
      <c r="G794" s="233"/>
    </row>
    <row r="795">
      <c r="E795" s="233"/>
      <c r="F795" s="233"/>
      <c r="G795" s="233"/>
    </row>
    <row r="796">
      <c r="E796" s="233"/>
      <c r="F796" s="233"/>
      <c r="G796" s="233"/>
    </row>
    <row r="797">
      <c r="E797" s="233"/>
      <c r="F797" s="233"/>
      <c r="G797" s="233"/>
    </row>
    <row r="798">
      <c r="E798" s="233"/>
      <c r="F798" s="233"/>
      <c r="G798" s="233"/>
    </row>
    <row r="799">
      <c r="E799" s="233"/>
      <c r="F799" s="233"/>
      <c r="G799" s="233"/>
    </row>
    <row r="800">
      <c r="E800" s="233"/>
      <c r="F800" s="233"/>
      <c r="G800" s="233"/>
    </row>
    <row r="801">
      <c r="E801" s="233"/>
      <c r="F801" s="233"/>
      <c r="G801" s="233"/>
    </row>
    <row r="802">
      <c r="E802" s="233"/>
      <c r="F802" s="233"/>
      <c r="G802" s="233"/>
    </row>
    <row r="803">
      <c r="E803" s="233"/>
      <c r="F803" s="233"/>
      <c r="G803" s="233"/>
    </row>
    <row r="804">
      <c r="E804" s="233"/>
      <c r="F804" s="233"/>
      <c r="G804" s="233"/>
    </row>
    <row r="805">
      <c r="E805" s="233"/>
      <c r="F805" s="233"/>
      <c r="G805" s="233"/>
    </row>
    <row r="806">
      <c r="E806" s="233"/>
      <c r="F806" s="233"/>
      <c r="G806" s="233"/>
    </row>
    <row r="807">
      <c r="E807" s="233"/>
      <c r="F807" s="233"/>
      <c r="G807" s="233"/>
    </row>
    <row r="808">
      <c r="E808" s="233"/>
      <c r="F808" s="233"/>
      <c r="G808" s="233"/>
    </row>
    <row r="809">
      <c r="E809" s="233"/>
      <c r="F809" s="233"/>
      <c r="G809" s="233"/>
    </row>
    <row r="810">
      <c r="E810" s="233"/>
      <c r="F810" s="233"/>
      <c r="G810" s="233"/>
    </row>
    <row r="811">
      <c r="E811" s="233"/>
      <c r="F811" s="233"/>
      <c r="G811" s="233"/>
    </row>
    <row r="812">
      <c r="E812" s="233"/>
      <c r="F812" s="233"/>
      <c r="G812" s="233"/>
    </row>
    <row r="813">
      <c r="E813" s="233"/>
      <c r="F813" s="233"/>
      <c r="G813" s="233"/>
    </row>
    <row r="814">
      <c r="E814" s="233"/>
      <c r="F814" s="233"/>
      <c r="G814" s="233"/>
    </row>
    <row r="815">
      <c r="E815" s="233"/>
      <c r="F815" s="233"/>
      <c r="G815" s="233"/>
    </row>
    <row r="816">
      <c r="E816" s="233"/>
      <c r="F816" s="233"/>
      <c r="G816" s="233"/>
    </row>
    <row r="817">
      <c r="E817" s="233"/>
      <c r="F817" s="233"/>
      <c r="G817" s="233"/>
    </row>
    <row r="818">
      <c r="E818" s="233"/>
      <c r="F818" s="233"/>
      <c r="G818" s="233"/>
    </row>
    <row r="819">
      <c r="E819" s="233"/>
      <c r="F819" s="233"/>
      <c r="G819" s="233"/>
    </row>
    <row r="820">
      <c r="E820" s="233"/>
      <c r="F820" s="233"/>
      <c r="G820" s="233"/>
    </row>
    <row r="821">
      <c r="E821" s="233"/>
      <c r="F821" s="233"/>
      <c r="G821" s="233"/>
    </row>
    <row r="822">
      <c r="E822" s="233"/>
      <c r="F822" s="233"/>
      <c r="G822" s="233"/>
    </row>
    <row r="823">
      <c r="E823" s="233"/>
      <c r="F823" s="233"/>
      <c r="G823" s="233"/>
    </row>
    <row r="824">
      <c r="E824" s="233"/>
      <c r="F824" s="233"/>
      <c r="G824" s="233"/>
    </row>
    <row r="825">
      <c r="E825" s="233"/>
      <c r="F825" s="233"/>
      <c r="G825" s="233"/>
    </row>
    <row r="826">
      <c r="E826" s="233"/>
      <c r="F826" s="233"/>
      <c r="G826" s="233"/>
    </row>
    <row r="827">
      <c r="E827" s="233"/>
      <c r="F827" s="233"/>
      <c r="G827" s="233"/>
    </row>
    <row r="828">
      <c r="E828" s="233"/>
      <c r="F828" s="233"/>
      <c r="G828" s="233"/>
    </row>
    <row r="829">
      <c r="E829" s="233"/>
      <c r="F829" s="233"/>
      <c r="G829" s="233"/>
    </row>
    <row r="830">
      <c r="E830" s="233"/>
      <c r="F830" s="233"/>
      <c r="G830" s="233"/>
    </row>
    <row r="831">
      <c r="E831" s="233"/>
      <c r="F831" s="233"/>
      <c r="G831" s="233"/>
    </row>
    <row r="832">
      <c r="E832" s="233"/>
      <c r="F832" s="233"/>
      <c r="G832" s="233"/>
    </row>
    <row r="833">
      <c r="E833" s="233"/>
      <c r="F833" s="233"/>
      <c r="G833" s="233"/>
    </row>
    <row r="834">
      <c r="E834" s="233"/>
      <c r="F834" s="233"/>
      <c r="G834" s="233"/>
    </row>
    <row r="835">
      <c r="E835" s="233"/>
      <c r="F835" s="233"/>
      <c r="G835" s="233"/>
    </row>
    <row r="836">
      <c r="E836" s="233"/>
      <c r="F836" s="233"/>
      <c r="G836" s="233"/>
    </row>
  </sheetData>
  <hyperlinks>
    <hyperlink r:id="rId1" ref="G3"/>
    <hyperlink r:id="rId2" ref="G4"/>
    <hyperlink r:id="rId3" ref="G5"/>
    <hyperlink r:id="rId4" ref="G6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/>
      <c r="B1" s="33" t="s">
        <v>591</v>
      </c>
      <c r="C1" s="30">
        <v>10.0</v>
      </c>
      <c r="D1" s="31">
        <v>5995.0</v>
      </c>
      <c r="E1" s="27"/>
      <c r="F1" s="34">
        <v>46235.0</v>
      </c>
      <c r="G1" s="258" t="s">
        <v>17</v>
      </c>
      <c r="H1" s="27" t="s">
        <v>592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</row>
    <row r="3">
      <c r="A3" s="259"/>
      <c r="B3" s="260" t="s">
        <v>593</v>
      </c>
      <c r="C3" s="261">
        <v>406.0</v>
      </c>
      <c r="D3" s="262">
        <v>4995.0</v>
      </c>
      <c r="E3" s="263" t="s">
        <v>594</v>
      </c>
      <c r="F3" s="264">
        <v>46266.0</v>
      </c>
      <c r="G3" s="265" t="s">
        <v>95</v>
      </c>
      <c r="H3" s="259"/>
      <c r="I3" s="266" t="b">
        <v>0</v>
      </c>
      <c r="J3" s="266" t="b">
        <v>1</v>
      </c>
      <c r="K3" s="267" t="s">
        <v>71</v>
      </c>
      <c r="L3" s="259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</row>
    <row r="4">
      <c r="A4" s="268"/>
      <c r="B4" s="269" t="s">
        <v>593</v>
      </c>
      <c r="C4" s="267">
        <v>202.0</v>
      </c>
      <c r="D4" s="270">
        <v>4795.0</v>
      </c>
      <c r="E4" s="267" t="s">
        <v>595</v>
      </c>
      <c r="F4" s="271">
        <v>46266.0</v>
      </c>
      <c r="G4" s="265" t="s">
        <v>596</v>
      </c>
      <c r="H4" s="259"/>
      <c r="I4" s="267" t="b">
        <v>0</v>
      </c>
      <c r="J4" s="267" t="b">
        <v>0</v>
      </c>
      <c r="K4" s="267" t="s">
        <v>71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</row>
    <row r="5">
      <c r="A5" s="259"/>
      <c r="B5" s="269" t="s">
        <v>593</v>
      </c>
      <c r="C5" s="267">
        <v>1405.0</v>
      </c>
      <c r="D5" s="270">
        <v>4795.0</v>
      </c>
      <c r="E5" s="267" t="s">
        <v>597</v>
      </c>
      <c r="F5" s="271">
        <v>46266.0</v>
      </c>
      <c r="G5" s="265" t="s">
        <v>17</v>
      </c>
      <c r="H5" s="259"/>
      <c r="I5" s="267" t="b">
        <v>1</v>
      </c>
      <c r="J5" s="267" t="b">
        <v>1</v>
      </c>
      <c r="K5" s="267" t="s">
        <v>71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</row>
    <row r="6">
      <c r="A6" s="268"/>
      <c r="B6" s="269" t="s">
        <v>593</v>
      </c>
      <c r="C6" s="267">
        <v>401.0</v>
      </c>
      <c r="D6" s="267">
        <v>9495.0</v>
      </c>
      <c r="E6" s="267" t="s">
        <v>598</v>
      </c>
      <c r="F6" s="264">
        <v>46266.0</v>
      </c>
      <c r="G6" s="259"/>
      <c r="H6" s="259"/>
      <c r="I6" s="267" t="b">
        <v>0</v>
      </c>
      <c r="J6" s="267" t="b">
        <v>0</v>
      </c>
      <c r="K6" s="267" t="s">
        <v>71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</row>
    <row r="7">
      <c r="A7" s="259"/>
      <c r="B7" s="269" t="s">
        <v>593</v>
      </c>
      <c r="C7" s="267">
        <v>2104.0</v>
      </c>
      <c r="D7" s="267">
        <v>7295.0</v>
      </c>
      <c r="E7" s="267" t="s">
        <v>599</v>
      </c>
      <c r="F7" s="264">
        <v>46266.0</v>
      </c>
      <c r="G7" s="259"/>
      <c r="H7" s="259"/>
      <c r="I7" s="267" t="b">
        <v>0</v>
      </c>
      <c r="J7" s="267" t="b">
        <v>0</v>
      </c>
      <c r="K7" s="267" t="s">
        <v>71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</row>
    <row r="8">
      <c r="A8" s="259"/>
      <c r="B8" s="269" t="s">
        <v>593</v>
      </c>
      <c r="C8" s="267">
        <v>1904.0</v>
      </c>
      <c r="D8" s="272">
        <v>7145.0</v>
      </c>
      <c r="E8" s="273" t="s">
        <v>600</v>
      </c>
      <c r="F8" s="264">
        <v>46266.0</v>
      </c>
      <c r="G8" s="259"/>
      <c r="H8" s="259"/>
      <c r="I8" s="267" t="b">
        <v>0</v>
      </c>
      <c r="J8" s="267" t="b">
        <v>0</v>
      </c>
      <c r="K8" s="267" t="s">
        <v>71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>
      <c r="A9" s="27"/>
      <c r="B9" s="269" t="s">
        <v>593</v>
      </c>
      <c r="C9" s="30">
        <v>1302.0</v>
      </c>
      <c r="D9" s="30">
        <v>4895.0</v>
      </c>
      <c r="E9" s="30" t="s">
        <v>595</v>
      </c>
      <c r="F9" s="34">
        <v>46266.0</v>
      </c>
      <c r="G9" s="32" t="s">
        <v>17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</row>
    <row r="10">
      <c r="A10" s="27"/>
      <c r="B10" s="269" t="s">
        <v>593</v>
      </c>
      <c r="C10" s="30">
        <v>805.0</v>
      </c>
      <c r="D10" s="30">
        <v>4595.0</v>
      </c>
      <c r="E10" s="30" t="s">
        <v>601</v>
      </c>
      <c r="F10" s="34">
        <v>46266.0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</row>
    <row r="11">
      <c r="A11" s="27"/>
      <c r="B11" s="269" t="s">
        <v>593</v>
      </c>
      <c r="C11" s="30">
        <v>2003.0</v>
      </c>
      <c r="D11" s="30">
        <v>7195.0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</row>
    <row r="12">
      <c r="A12" s="259"/>
      <c r="B12" s="259" t="s">
        <v>602</v>
      </c>
      <c r="C12" s="267">
        <v>811.0</v>
      </c>
      <c r="D12" s="274">
        <v>5195.0</v>
      </c>
      <c r="E12" s="261" t="s">
        <v>603</v>
      </c>
      <c r="F12" s="264">
        <v>46234.0</v>
      </c>
      <c r="G12" s="265" t="s">
        <v>17</v>
      </c>
      <c r="H12" s="259"/>
      <c r="I12" s="266" t="b">
        <v>0</v>
      </c>
      <c r="J12" s="266" t="b">
        <v>0</v>
      </c>
      <c r="K12" s="267" t="s">
        <v>119</v>
      </c>
      <c r="L12" s="25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</row>
    <row r="13">
      <c r="A13" s="259"/>
      <c r="B13" s="259" t="s">
        <v>602</v>
      </c>
      <c r="C13" s="267">
        <v>203.0</v>
      </c>
      <c r="D13" s="275">
        <v>5995.0</v>
      </c>
      <c r="E13" s="276" t="s">
        <v>604</v>
      </c>
      <c r="F13" s="271">
        <v>46218.0</v>
      </c>
      <c r="G13" s="265" t="s">
        <v>17</v>
      </c>
      <c r="H13" s="259"/>
      <c r="I13" s="266" t="b">
        <v>0</v>
      </c>
      <c r="J13" s="266" t="b">
        <v>0</v>
      </c>
      <c r="K13" s="267" t="s">
        <v>119</v>
      </c>
      <c r="L13" s="25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</row>
    <row r="14">
      <c r="A14" s="259"/>
      <c r="B14" s="259" t="s">
        <v>602</v>
      </c>
      <c r="C14" s="267">
        <v>911.0</v>
      </c>
      <c r="D14" s="275">
        <v>4995.0</v>
      </c>
      <c r="E14" s="261" t="s">
        <v>603</v>
      </c>
      <c r="F14" s="264">
        <v>46265.0</v>
      </c>
      <c r="G14" s="259"/>
      <c r="H14" s="259"/>
      <c r="I14" s="266" t="b">
        <v>0</v>
      </c>
      <c r="J14" s="266" t="b">
        <v>0</v>
      </c>
      <c r="K14" s="267" t="s">
        <v>119</v>
      </c>
      <c r="L14" s="25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</row>
    <row r="15">
      <c r="A15" s="259"/>
      <c r="B15" s="259" t="s">
        <v>602</v>
      </c>
      <c r="C15" s="267">
        <v>211.0</v>
      </c>
      <c r="D15" s="270">
        <v>4995.0</v>
      </c>
      <c r="E15" s="261" t="s">
        <v>603</v>
      </c>
      <c r="F15" s="264">
        <v>46265.0</v>
      </c>
      <c r="G15" s="259"/>
      <c r="H15" s="259"/>
      <c r="I15" s="266" t="b">
        <v>0</v>
      </c>
      <c r="J15" s="266" t="b">
        <v>0</v>
      </c>
      <c r="K15" s="267" t="s">
        <v>119</v>
      </c>
      <c r="L15" s="25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</row>
    <row r="16">
      <c r="A16" s="259"/>
      <c r="B16" s="259" t="s">
        <v>602</v>
      </c>
      <c r="C16" s="267">
        <v>508.0</v>
      </c>
      <c r="D16" s="277">
        <v>7295.0</v>
      </c>
      <c r="E16" s="267" t="s">
        <v>605</v>
      </c>
      <c r="F16" s="264">
        <v>46265.0</v>
      </c>
      <c r="G16" s="259"/>
      <c r="H16" s="259"/>
      <c r="I16" s="259"/>
      <c r="J16" s="259"/>
      <c r="K16" s="259"/>
      <c r="L16" s="25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</row>
    <row r="17">
      <c r="A17" s="259"/>
      <c r="B17" s="259" t="s">
        <v>602</v>
      </c>
      <c r="C17" s="267">
        <v>308.0</v>
      </c>
      <c r="D17" s="275">
        <v>7295.0</v>
      </c>
      <c r="E17" s="276" t="s">
        <v>606</v>
      </c>
      <c r="F17" s="264">
        <v>46265.0</v>
      </c>
      <c r="G17" s="265" t="s">
        <v>17</v>
      </c>
      <c r="H17" s="259"/>
      <c r="I17" s="267" t="b">
        <v>0</v>
      </c>
      <c r="J17" s="267" t="b">
        <v>0</v>
      </c>
      <c r="K17" s="267" t="s">
        <v>119</v>
      </c>
      <c r="L17" s="259" t="s">
        <v>607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</row>
    <row r="18">
      <c r="A18" s="259"/>
      <c r="B18" s="278" t="s">
        <v>608</v>
      </c>
      <c r="C18" s="261">
        <v>124.0</v>
      </c>
      <c r="D18" s="279">
        <v>3995.0</v>
      </c>
      <c r="E18" s="267" t="s">
        <v>609</v>
      </c>
      <c r="F18" s="280">
        <v>46203.0</v>
      </c>
      <c r="G18" s="265" t="s">
        <v>17</v>
      </c>
      <c r="H18" s="259"/>
      <c r="I18" s="266" t="b">
        <v>1</v>
      </c>
      <c r="J18" s="266" t="b">
        <v>1</v>
      </c>
      <c r="K18" s="267" t="s">
        <v>119</v>
      </c>
      <c r="L18" s="25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>
      <c r="A19" s="259"/>
      <c r="B19" s="278" t="s">
        <v>608</v>
      </c>
      <c r="C19" s="267">
        <v>91.0</v>
      </c>
      <c r="D19" s="275">
        <v>4195.0</v>
      </c>
      <c r="E19" s="267" t="s">
        <v>609</v>
      </c>
      <c r="F19" s="271">
        <v>46266.0</v>
      </c>
      <c r="G19" s="265" t="s">
        <v>95</v>
      </c>
      <c r="H19" s="259"/>
      <c r="I19" s="266" t="b">
        <v>0</v>
      </c>
      <c r="J19" s="266" t="b">
        <v>0</v>
      </c>
      <c r="K19" s="267" t="s">
        <v>119</v>
      </c>
      <c r="L19" s="25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</row>
    <row r="20">
      <c r="A20" s="259"/>
      <c r="B20" s="278" t="s">
        <v>608</v>
      </c>
      <c r="C20" s="267">
        <v>64.0</v>
      </c>
      <c r="D20" s="281">
        <v>3900.0</v>
      </c>
      <c r="E20" s="267" t="s">
        <v>609</v>
      </c>
      <c r="F20" s="267" t="s">
        <v>610</v>
      </c>
      <c r="G20" s="265" t="s">
        <v>17</v>
      </c>
      <c r="H20" s="259"/>
      <c r="I20" s="266" t="b">
        <v>0</v>
      </c>
      <c r="J20" s="266" t="b">
        <v>0</v>
      </c>
      <c r="K20" s="267" t="s">
        <v>119</v>
      </c>
      <c r="L20" s="25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</row>
    <row r="21">
      <c r="A21" s="259"/>
      <c r="B21" s="278" t="s">
        <v>608</v>
      </c>
      <c r="C21" s="267">
        <v>122.0</v>
      </c>
      <c r="D21" s="275">
        <v>4195.0</v>
      </c>
      <c r="E21" s="267" t="s">
        <v>609</v>
      </c>
      <c r="F21" s="264">
        <v>46265.0</v>
      </c>
      <c r="G21" s="265" t="s">
        <v>17</v>
      </c>
      <c r="H21" s="259"/>
      <c r="I21" s="266" t="b">
        <v>0</v>
      </c>
      <c r="J21" s="266" t="b">
        <v>0</v>
      </c>
      <c r="K21" s="267" t="s">
        <v>119</v>
      </c>
      <c r="L21" s="25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</row>
    <row r="22">
      <c r="A22" s="259"/>
      <c r="B22" s="278" t="s">
        <v>608</v>
      </c>
      <c r="C22" s="267">
        <v>23.0</v>
      </c>
      <c r="D22" s="275">
        <v>3995.0</v>
      </c>
      <c r="E22" s="276" t="s">
        <v>611</v>
      </c>
      <c r="F22" s="264">
        <v>46265.0</v>
      </c>
      <c r="G22" s="259"/>
      <c r="H22" s="259"/>
      <c r="I22" s="266" t="b">
        <v>0</v>
      </c>
      <c r="J22" s="266" t="b">
        <v>0</v>
      </c>
      <c r="K22" s="267" t="s">
        <v>119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</row>
    <row r="24">
      <c r="A24" s="282" t="s">
        <v>612</v>
      </c>
      <c r="B24" s="283" t="s">
        <v>613</v>
      </c>
      <c r="C24" s="284" t="s">
        <v>508</v>
      </c>
      <c r="D24" s="285"/>
      <c r="E24" s="267" t="s">
        <v>614</v>
      </c>
      <c r="F24" s="286">
        <v>4550.0</v>
      </c>
      <c r="G24" s="287" t="s">
        <v>22</v>
      </c>
      <c r="H24" s="288">
        <v>5850.0</v>
      </c>
      <c r="I24" s="288">
        <v>5250.0</v>
      </c>
      <c r="J24" s="289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</row>
    <row r="26">
      <c r="A26" s="27"/>
      <c r="B26" s="27"/>
      <c r="C26" s="27"/>
      <c r="D26" s="33" t="s">
        <v>615</v>
      </c>
      <c r="E26" s="258" t="s">
        <v>22</v>
      </c>
      <c r="F26" s="93" t="s">
        <v>115</v>
      </c>
      <c r="G26" s="30" t="s">
        <v>220</v>
      </c>
      <c r="H26" s="30" t="s">
        <v>616</v>
      </c>
      <c r="I26" s="290">
        <v>10450.0</v>
      </c>
      <c r="J26" s="27"/>
      <c r="K26" s="27"/>
      <c r="L26" s="27"/>
      <c r="M26" s="27" t="s">
        <v>617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r="27">
      <c r="A27" s="291" t="s">
        <v>618</v>
      </c>
      <c r="B27" s="27"/>
      <c r="C27" s="27"/>
      <c r="D27" s="33" t="s">
        <v>615</v>
      </c>
      <c r="E27" s="27"/>
      <c r="F27" s="93" t="s">
        <v>115</v>
      </c>
      <c r="G27" s="30" t="s">
        <v>619</v>
      </c>
      <c r="H27" s="30" t="s">
        <v>300</v>
      </c>
      <c r="I27" s="290">
        <v>7995.0</v>
      </c>
      <c r="J27" s="27"/>
      <c r="K27" s="27"/>
      <c r="L27" s="27"/>
      <c r="M27" s="27" t="s">
        <v>620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</row>
    <row r="29">
      <c r="A29" s="292" t="s">
        <v>621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93" t="s">
        <v>622</v>
      </c>
      <c r="B32" s="258" t="s">
        <v>95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93" t="s">
        <v>623</v>
      </c>
      <c r="B34" s="258" t="s">
        <v>95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93" t="s">
        <v>624</v>
      </c>
      <c r="B37" s="258" t="s">
        <v>95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93" t="s">
        <v>625</v>
      </c>
      <c r="B39" s="258" t="s">
        <v>95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93" t="s">
        <v>626</v>
      </c>
      <c r="B41" s="258" t="s">
        <v>95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93" t="s">
        <v>627</v>
      </c>
      <c r="B43" s="258" t="s">
        <v>95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0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92" t="s">
        <v>628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93" t="s">
        <v>629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92" t="s">
        <v>630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93" t="s">
        <v>631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</sheetData>
  <hyperlinks>
    <hyperlink r:id="rId1" ref="G1"/>
    <hyperlink r:id="rId2" ref="G3"/>
    <hyperlink r:id="rId3" ref="G4"/>
    <hyperlink r:id="rId4" ref="G5"/>
    <hyperlink r:id="rId5" ref="G9"/>
    <hyperlink r:id="rId6" ref="G12"/>
    <hyperlink r:id="rId7" ref="G13"/>
    <hyperlink r:id="rId8" ref="G17"/>
    <hyperlink r:id="rId9" ref="G18"/>
    <hyperlink r:id="rId10" ref="G19"/>
    <hyperlink r:id="rId11" ref="G20"/>
    <hyperlink r:id="rId12" ref="G21"/>
    <hyperlink r:id="rId13" ref="G24"/>
    <hyperlink r:id="rId14" ref="E26"/>
    <hyperlink r:id="rId15" ref="B32"/>
    <hyperlink r:id="rId16" ref="B34"/>
    <hyperlink r:id="rId17" ref="B37"/>
    <hyperlink r:id="rId18" ref="B39"/>
    <hyperlink r:id="rId19" ref="B41"/>
    <hyperlink r:id="rId20" ref="B43"/>
  </hyperlinks>
  <drawing r:id="rId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9.5"/>
    <col customWidth="1" min="3" max="3" width="8.63"/>
    <col customWidth="1" min="7" max="7" width="5.63"/>
    <col customWidth="1" min="8" max="8" width="7.25"/>
    <col customWidth="1" min="9" max="9" width="11.88"/>
    <col customWidth="1" min="11" max="11" width="8.13"/>
    <col customWidth="1" min="12" max="12" width="18.25"/>
    <col customWidth="1" min="13" max="13" width="24.88"/>
    <col customWidth="1" min="14" max="14" width="31.63"/>
    <col customWidth="1" min="15" max="15" width="38.38"/>
  </cols>
  <sheetData>
    <row r="1">
      <c r="A1" s="294" t="s">
        <v>75</v>
      </c>
      <c r="B1" s="294" t="s">
        <v>164</v>
      </c>
      <c r="C1" s="294" t="s">
        <v>632</v>
      </c>
      <c r="D1" s="294" t="s">
        <v>78</v>
      </c>
      <c r="E1" s="294" t="s">
        <v>169</v>
      </c>
      <c r="F1" s="294" t="s">
        <v>80</v>
      </c>
      <c r="G1" s="294" t="s">
        <v>81</v>
      </c>
      <c r="H1" s="294" t="s">
        <v>82</v>
      </c>
      <c r="I1" s="294" t="s">
        <v>83</v>
      </c>
      <c r="J1" s="294" t="s">
        <v>165</v>
      </c>
      <c r="K1" s="294" t="s">
        <v>167</v>
      </c>
      <c r="L1" s="294" t="s">
        <v>168</v>
      </c>
      <c r="M1" s="294" t="s">
        <v>633</v>
      </c>
      <c r="N1" s="295" t="s">
        <v>634</v>
      </c>
      <c r="O1" s="296" t="s">
        <v>7</v>
      </c>
      <c r="P1" s="297"/>
    </row>
    <row r="2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>
      <c r="A3" s="297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>
      <c r="A4" s="297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</row>
    <row r="5">
      <c r="A5" s="297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</row>
    <row r="6">
      <c r="A6" s="298"/>
      <c r="B6" s="298"/>
      <c r="C6" s="298"/>
      <c r="D6" s="298"/>
      <c r="E6" s="298"/>
      <c r="F6" s="299" t="s">
        <v>635</v>
      </c>
      <c r="G6" s="300">
        <v>14.0</v>
      </c>
      <c r="H6" s="300" t="s">
        <v>636</v>
      </c>
      <c r="I6" s="301">
        <v>3900.0</v>
      </c>
      <c r="J6" s="298"/>
      <c r="K6" s="298"/>
      <c r="L6" s="300" t="s">
        <v>637</v>
      </c>
      <c r="M6" s="300" t="s">
        <v>638</v>
      </c>
      <c r="N6" s="298"/>
      <c r="O6" s="302" t="s">
        <v>639</v>
      </c>
      <c r="P6" s="297"/>
    </row>
    <row r="7">
      <c r="A7" s="297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>
      <c r="A8" s="297"/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>
      <c r="A9" s="297"/>
      <c r="B9" s="297"/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</row>
    <row r="10">
      <c r="A10" s="297"/>
      <c r="B10" s="297"/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</row>
    <row r="11">
      <c r="A11" s="297"/>
      <c r="B11" s="297"/>
      <c r="C11" s="297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/>
    </row>
    <row r="12">
      <c r="A12" s="297"/>
      <c r="B12" s="297"/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7"/>
      <c r="N12" s="297"/>
      <c r="O12" s="297"/>
      <c r="P12" s="297"/>
    </row>
  </sheetData>
  <drawing r:id="rId1"/>
</worksheet>
</file>